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F:\Portofolio-Dila Padilah\Data Analysis\Data Set Penjualan_Latihan\Analysis\"/>
    </mc:Choice>
  </mc:AlternateContent>
  <bookViews>
    <workbookView xWindow="0" yWindow="0" windowWidth="20490" windowHeight="7125"/>
  </bookViews>
  <sheets>
    <sheet name="dataset_penjualan_latihan" sheetId="1" r:id="rId1"/>
    <sheet name="Pivot" sheetId="2" r:id="rId2"/>
    <sheet name="Summary" sheetId="3" r:id="rId3"/>
  </sheets>
  <calcPr calcId="0"/>
  <pivotCaches>
    <pivotCache cacheId="4" r:id="rId4"/>
  </pivotCaches>
</workbook>
</file>

<file path=xl/calcChain.xml><?xml version="1.0" encoding="utf-8"?>
<calcChain xmlns="http://schemas.openxmlformats.org/spreadsheetml/2006/main">
  <c r="E9" i="3" l="1"/>
  <c r="E7" i="3"/>
  <c r="E5" i="3"/>
</calcChain>
</file>

<file path=xl/sharedStrings.xml><?xml version="1.0" encoding="utf-8"?>
<sst xmlns="http://schemas.openxmlformats.org/spreadsheetml/2006/main" count="397" uniqueCount="34">
  <si>
    <t>tanggal</t>
  </si>
  <si>
    <t>produk</t>
  </si>
  <si>
    <t>kategori</t>
  </si>
  <si>
    <t>qty</t>
  </si>
  <si>
    <t>harga</t>
  </si>
  <si>
    <t>total</t>
  </si>
  <si>
    <t>kota</t>
  </si>
  <si>
    <t>Webcam</t>
  </si>
  <si>
    <t>Video</t>
  </si>
  <si>
    <t>Jakarta</t>
  </si>
  <si>
    <t>Headset</t>
  </si>
  <si>
    <t>Audio</t>
  </si>
  <si>
    <t>Bandung</t>
  </si>
  <si>
    <t>Yogyakarta</t>
  </si>
  <si>
    <t>Laptop Sleeve</t>
  </si>
  <si>
    <t>Accessories</t>
  </si>
  <si>
    <t>Mouse</t>
  </si>
  <si>
    <t>Surabaya</t>
  </si>
  <si>
    <t>Keyboard</t>
  </si>
  <si>
    <t>Medan</t>
  </si>
  <si>
    <t>Row Labels</t>
  </si>
  <si>
    <t>Grand Total</t>
  </si>
  <si>
    <t>Sum of qty</t>
  </si>
  <si>
    <t>Sum of total</t>
  </si>
  <si>
    <t>Penjualan Setiap Produk</t>
  </si>
  <si>
    <t>Penjualan Setiap Daerah</t>
  </si>
  <si>
    <t>Penjualan Setiap Bulan</t>
  </si>
  <si>
    <t>LAPORAN ANALISIS PENJUALAN</t>
  </si>
  <si>
    <t>Produk Terlaris</t>
  </si>
  <si>
    <t>Bulan Tertinggi</t>
  </si>
  <si>
    <t>Kota Terbaik</t>
  </si>
  <si>
    <t>Maret</t>
  </si>
  <si>
    <t>Januari</t>
  </si>
  <si>
    <t>Februari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</si>
</sst>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dd/mm/yyyy;@"/>
    <numFmt numFmtId="169" formatCode="_-[$Rp-421]* #,##0_-;\-[$Rp-421]* #,##0_-;_-[$Rp-421]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11"/>
      <color theme="0"/>
      <name val="Arial Black"/>
      <family val="2"/>
    </font>
    <font>
      <sz val="11"/>
      <color theme="1"/>
      <name val="Bahnschrift SemiBold"/>
      <family val="2"/>
    </font>
    <font>
      <sz val="11"/>
      <color theme="1"/>
      <name val="Bahnschrift Light SemiCondensed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Border="1"/>
    <xf numFmtId="0" fontId="16" fillId="0" borderId="0" xfId="0" applyFont="1" applyAlignment="1">
      <alignment horizontal="center" vertical="center"/>
    </xf>
    <xf numFmtId="166" fontId="0" fillId="0" borderId="10" xfId="0" applyNumberFormat="1" applyBorder="1"/>
    <xf numFmtId="169" fontId="0" fillId="0" borderId="10" xfId="0" applyNumberFormat="1" applyBorder="1"/>
    <xf numFmtId="0" fontId="16" fillId="33" borderId="10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34" borderId="0" xfId="0" applyFont="1" applyFill="1" applyAlignment="1">
      <alignment horizontal="center"/>
    </xf>
    <xf numFmtId="0" fontId="20" fillId="36" borderId="0" xfId="0" applyFont="1" applyFill="1"/>
    <xf numFmtId="0" fontId="18" fillId="37" borderId="0" xfId="0" applyFont="1" applyFill="1"/>
    <xf numFmtId="0" fontId="20" fillId="37" borderId="0" xfId="0" applyFont="1" applyFill="1"/>
    <xf numFmtId="0" fontId="19" fillId="33" borderId="0" xfId="0" applyFont="1" applyFill="1"/>
    <xf numFmtId="0" fontId="19" fillId="33" borderId="0" xfId="0" applyFont="1" applyFill="1" applyAlignment="1">
      <alignment horizontal="center" vertical="top"/>
    </xf>
    <xf numFmtId="0" fontId="21" fillId="35" borderId="10" xfId="0" applyFont="1" applyFill="1" applyBorder="1"/>
    <xf numFmtId="0" fontId="21" fillId="35" borderId="10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828675</xdr:colOff>
          <xdr:row>10</xdr:row>
          <xdr:rowOff>104775</xdr:rowOff>
        </xdr:from>
        <xdr:to>
          <xdr:col>4</xdr:col>
          <xdr:colOff>180975</xdr:colOff>
          <xdr:row>11</xdr:row>
          <xdr:rowOff>152400</xdr:rowOff>
        </xdr:to>
        <xdr:sp macro="" textlink="">
          <xdr:nvSpPr>
            <xdr:cNvPr id="3075" name="Button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rial Black"/>
                </a:rPr>
                <a:t>Refresh</a:t>
              </a:r>
            </a:p>
          </xdr:txBody>
        </xdr:sp>
        <xdr:clientData fPrintsWithSheet="0"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54.516184490742" createdVersion="6" refreshedVersion="6" minRefreshableVersion="3" recordCount="120">
  <cacheSource type="worksheet">
    <worksheetSource ref="A1:G121" sheet="dataset_penjualan_latihan"/>
  </cacheSource>
  <cacheFields count="8">
    <cacheField name="tanggal" numFmtId="166">
      <sharedItems containsSemiMixedTypes="0" containsNonDate="0" containsDate="1" containsString="0" minDate="2024-01-02T00:00:00" maxDate="2024-03-29T00:00:00" count="70">
        <d v="2024-01-02T00:00:00"/>
        <d v="2024-01-03T00:00:00"/>
        <d v="2024-01-04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1T00:00:00"/>
        <d v="2024-01-22T00:00:00"/>
        <d v="2024-01-23T00:00:00"/>
        <d v="2024-01-24T00:00:00"/>
        <d v="2024-01-26T00:00:00"/>
        <d v="2024-01-27T00:00:00"/>
        <d v="2024-01-28T00:00:00"/>
        <d v="2024-01-29T00:00:00"/>
        <d v="2024-01-30T00:00:00"/>
        <d v="2024-02-01T00:00:00"/>
        <d v="2024-02-02T00:00:00"/>
        <d v="2024-02-03T00:00:00"/>
        <d v="2024-02-05T00:00:00"/>
        <d v="2024-02-07T00:00:00"/>
        <d v="2024-02-08T00:00:00"/>
        <d v="2024-02-10T00:00:00"/>
        <d v="2024-02-11T00:00:00"/>
        <d v="2024-02-12T00:00:00"/>
        <d v="2024-02-13T00:00:00"/>
        <d v="2024-02-15T00:00:00"/>
        <d v="2024-02-16T00:00:00"/>
        <d v="2024-02-18T00:00:00"/>
        <d v="2024-02-19T00:00:00"/>
        <d v="2024-02-20T00:00:00"/>
        <d v="2024-02-21T00:00:00"/>
        <d v="2024-02-23T00:00:00"/>
        <d v="2024-02-24T00:00:00"/>
        <d v="2024-02-25T00:00:00"/>
        <d v="2024-02-27T00:00:00"/>
        <d v="2024-02-28T00:00:00"/>
        <d v="2024-03-02T00:00:00"/>
        <d v="2024-03-03T00:00:00"/>
        <d v="2024-03-04T00:00:00"/>
        <d v="2024-03-05T00:00:00"/>
        <d v="2024-03-06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</sharedItems>
      <fieldGroup par="7" base="0">
        <rangePr groupBy="days" startDate="2024-01-02T00:00:00" endDate="2024-03-29T00:00:00"/>
        <groupItems count="368">
          <s v="&lt;1/2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29/2024"/>
        </groupItems>
      </fieldGroup>
    </cacheField>
    <cacheField name="produk" numFmtId="0">
      <sharedItems count="5">
        <s v="Mouse"/>
        <s v="Keyboard"/>
        <s v="Headset"/>
        <s v="Webcam"/>
        <s v="Laptop Sleeve"/>
      </sharedItems>
    </cacheField>
    <cacheField name="kategori" numFmtId="0">
      <sharedItems/>
    </cacheField>
    <cacheField name="qty" numFmtId="0">
      <sharedItems containsSemiMixedTypes="0" containsString="0" containsNumber="1" containsInteger="1" minValue="1" maxValue="5"/>
    </cacheField>
    <cacheField name="harga" numFmtId="169">
      <sharedItems containsSemiMixedTypes="0" containsString="0" containsNumber="1" containsInteger="1" minValue="50000" maxValue="300000"/>
    </cacheField>
    <cacheField name="total" numFmtId="169">
      <sharedItems containsSemiMixedTypes="0" containsString="0" containsNumber="1" containsInteger="1" minValue="50000" maxValue="1500000"/>
    </cacheField>
    <cacheField name="kota" numFmtId="0">
      <sharedItems count="5">
        <s v="Bandung"/>
        <s v="Yogyakarta"/>
        <s v="Surabaya"/>
        <s v="Medan"/>
        <s v="Jakarta"/>
      </sharedItems>
    </cacheField>
    <cacheField name="Months" numFmtId="0" databaseField="0">
      <fieldGroup base="0">
        <rangePr groupBy="months" startDate="2024-01-02T00:00:00" endDate="2024-03-29T00:00:00"/>
        <groupItems count="14">
          <s v="&lt;1/2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9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">
  <r>
    <x v="0"/>
    <x v="0"/>
    <s v="Accessories"/>
    <n v="5"/>
    <n v="300000"/>
    <n v="1500000"/>
    <x v="0"/>
  </r>
  <r>
    <x v="0"/>
    <x v="1"/>
    <s v="Accessories"/>
    <n v="5"/>
    <n v="120000"/>
    <n v="600000"/>
    <x v="1"/>
  </r>
  <r>
    <x v="0"/>
    <x v="2"/>
    <s v="Audio"/>
    <n v="3"/>
    <n v="75000"/>
    <n v="225000"/>
    <x v="2"/>
  </r>
  <r>
    <x v="1"/>
    <x v="1"/>
    <s v="Accessories"/>
    <n v="5"/>
    <n v="200000"/>
    <n v="1000000"/>
    <x v="2"/>
  </r>
  <r>
    <x v="1"/>
    <x v="0"/>
    <s v="Accessories"/>
    <n v="2"/>
    <n v="120000"/>
    <n v="240000"/>
    <x v="3"/>
  </r>
  <r>
    <x v="2"/>
    <x v="3"/>
    <s v="Video"/>
    <n v="1"/>
    <n v="200000"/>
    <n v="200000"/>
    <x v="0"/>
  </r>
  <r>
    <x v="3"/>
    <x v="1"/>
    <s v="Accessories"/>
    <n v="5"/>
    <n v="300000"/>
    <n v="1500000"/>
    <x v="3"/>
  </r>
  <r>
    <x v="3"/>
    <x v="0"/>
    <s v="Accessories"/>
    <n v="2"/>
    <n v="300000"/>
    <n v="600000"/>
    <x v="1"/>
  </r>
  <r>
    <x v="4"/>
    <x v="4"/>
    <s v="Accessories"/>
    <n v="5"/>
    <n v="120000"/>
    <n v="600000"/>
    <x v="0"/>
  </r>
  <r>
    <x v="5"/>
    <x v="1"/>
    <s v="Accessories"/>
    <n v="5"/>
    <n v="75000"/>
    <n v="375000"/>
    <x v="3"/>
  </r>
  <r>
    <x v="6"/>
    <x v="0"/>
    <s v="Accessories"/>
    <n v="2"/>
    <n v="120000"/>
    <n v="240000"/>
    <x v="3"/>
  </r>
  <r>
    <x v="6"/>
    <x v="4"/>
    <s v="Accessories"/>
    <n v="1"/>
    <n v="75000"/>
    <n v="75000"/>
    <x v="0"/>
  </r>
  <r>
    <x v="7"/>
    <x v="4"/>
    <s v="Accessories"/>
    <n v="3"/>
    <n v="120000"/>
    <n v="360000"/>
    <x v="0"/>
  </r>
  <r>
    <x v="7"/>
    <x v="4"/>
    <s v="Accessories"/>
    <n v="1"/>
    <n v="50000"/>
    <n v="50000"/>
    <x v="2"/>
  </r>
  <r>
    <x v="8"/>
    <x v="4"/>
    <s v="Accessories"/>
    <n v="5"/>
    <n v="300000"/>
    <n v="1500000"/>
    <x v="3"/>
  </r>
  <r>
    <x v="9"/>
    <x v="2"/>
    <s v="Audio"/>
    <n v="1"/>
    <n v="300000"/>
    <n v="300000"/>
    <x v="2"/>
  </r>
  <r>
    <x v="10"/>
    <x v="2"/>
    <s v="Audio"/>
    <n v="1"/>
    <n v="200000"/>
    <n v="200000"/>
    <x v="1"/>
  </r>
  <r>
    <x v="10"/>
    <x v="0"/>
    <s v="Accessories"/>
    <n v="3"/>
    <n v="50000"/>
    <n v="150000"/>
    <x v="4"/>
  </r>
  <r>
    <x v="11"/>
    <x v="1"/>
    <s v="Accessories"/>
    <n v="5"/>
    <n v="75000"/>
    <n v="375000"/>
    <x v="3"/>
  </r>
  <r>
    <x v="11"/>
    <x v="2"/>
    <s v="Audio"/>
    <n v="3"/>
    <n v="300000"/>
    <n v="900000"/>
    <x v="1"/>
  </r>
  <r>
    <x v="11"/>
    <x v="3"/>
    <s v="Video"/>
    <n v="5"/>
    <n v="120000"/>
    <n v="600000"/>
    <x v="0"/>
  </r>
  <r>
    <x v="12"/>
    <x v="3"/>
    <s v="Video"/>
    <n v="2"/>
    <n v="120000"/>
    <n v="240000"/>
    <x v="2"/>
  </r>
  <r>
    <x v="13"/>
    <x v="1"/>
    <s v="Accessories"/>
    <n v="5"/>
    <n v="200000"/>
    <n v="1000000"/>
    <x v="3"/>
  </r>
  <r>
    <x v="14"/>
    <x v="0"/>
    <s v="Accessories"/>
    <n v="3"/>
    <n v="120000"/>
    <n v="360000"/>
    <x v="1"/>
  </r>
  <r>
    <x v="14"/>
    <x v="3"/>
    <s v="Video"/>
    <n v="4"/>
    <n v="75000"/>
    <n v="300000"/>
    <x v="4"/>
  </r>
  <r>
    <x v="15"/>
    <x v="3"/>
    <s v="Video"/>
    <n v="1"/>
    <n v="120000"/>
    <n v="120000"/>
    <x v="4"/>
  </r>
  <r>
    <x v="15"/>
    <x v="1"/>
    <s v="Accessories"/>
    <n v="4"/>
    <n v="75000"/>
    <n v="300000"/>
    <x v="2"/>
  </r>
  <r>
    <x v="16"/>
    <x v="4"/>
    <s v="Accessories"/>
    <n v="2"/>
    <n v="200000"/>
    <n v="400000"/>
    <x v="3"/>
  </r>
  <r>
    <x v="16"/>
    <x v="0"/>
    <s v="Accessories"/>
    <n v="3"/>
    <n v="50000"/>
    <n v="150000"/>
    <x v="3"/>
  </r>
  <r>
    <x v="17"/>
    <x v="4"/>
    <s v="Accessories"/>
    <n v="4"/>
    <n v="75000"/>
    <n v="300000"/>
    <x v="0"/>
  </r>
  <r>
    <x v="17"/>
    <x v="4"/>
    <s v="Accessories"/>
    <n v="4"/>
    <n v="200000"/>
    <n v="800000"/>
    <x v="3"/>
  </r>
  <r>
    <x v="18"/>
    <x v="1"/>
    <s v="Accessories"/>
    <n v="3"/>
    <n v="200000"/>
    <n v="600000"/>
    <x v="2"/>
  </r>
  <r>
    <x v="18"/>
    <x v="3"/>
    <s v="Video"/>
    <n v="2"/>
    <n v="120000"/>
    <n v="240000"/>
    <x v="2"/>
  </r>
  <r>
    <x v="19"/>
    <x v="0"/>
    <s v="Accessories"/>
    <n v="2"/>
    <n v="120000"/>
    <n v="240000"/>
    <x v="2"/>
  </r>
  <r>
    <x v="20"/>
    <x v="1"/>
    <s v="Accessories"/>
    <n v="5"/>
    <n v="120000"/>
    <n v="600000"/>
    <x v="0"/>
  </r>
  <r>
    <x v="21"/>
    <x v="0"/>
    <s v="Accessories"/>
    <n v="3"/>
    <n v="50000"/>
    <n v="150000"/>
    <x v="2"/>
  </r>
  <r>
    <x v="22"/>
    <x v="2"/>
    <s v="Audio"/>
    <n v="1"/>
    <n v="200000"/>
    <n v="200000"/>
    <x v="2"/>
  </r>
  <r>
    <x v="22"/>
    <x v="0"/>
    <s v="Accessories"/>
    <n v="5"/>
    <n v="50000"/>
    <n v="250000"/>
    <x v="2"/>
  </r>
  <r>
    <x v="23"/>
    <x v="3"/>
    <s v="Video"/>
    <n v="5"/>
    <n v="200000"/>
    <n v="1000000"/>
    <x v="2"/>
  </r>
  <r>
    <x v="23"/>
    <x v="3"/>
    <s v="Video"/>
    <n v="1"/>
    <n v="200000"/>
    <n v="200000"/>
    <x v="1"/>
  </r>
  <r>
    <x v="24"/>
    <x v="3"/>
    <s v="Video"/>
    <n v="1"/>
    <n v="120000"/>
    <n v="120000"/>
    <x v="2"/>
  </r>
  <r>
    <x v="25"/>
    <x v="2"/>
    <s v="Audio"/>
    <n v="3"/>
    <n v="50000"/>
    <n v="150000"/>
    <x v="2"/>
  </r>
  <r>
    <x v="25"/>
    <x v="2"/>
    <s v="Audio"/>
    <n v="1"/>
    <n v="75000"/>
    <n v="75000"/>
    <x v="3"/>
  </r>
  <r>
    <x v="26"/>
    <x v="2"/>
    <s v="Audio"/>
    <n v="1"/>
    <n v="120000"/>
    <n v="120000"/>
    <x v="3"/>
  </r>
  <r>
    <x v="27"/>
    <x v="4"/>
    <s v="Accessories"/>
    <n v="1"/>
    <n v="50000"/>
    <n v="50000"/>
    <x v="4"/>
  </r>
  <r>
    <x v="27"/>
    <x v="4"/>
    <s v="Accessories"/>
    <n v="4"/>
    <n v="200000"/>
    <n v="800000"/>
    <x v="3"/>
  </r>
  <r>
    <x v="27"/>
    <x v="3"/>
    <s v="Video"/>
    <n v="4"/>
    <n v="300000"/>
    <n v="1200000"/>
    <x v="1"/>
  </r>
  <r>
    <x v="28"/>
    <x v="0"/>
    <s v="Accessories"/>
    <n v="5"/>
    <n v="75000"/>
    <n v="375000"/>
    <x v="2"/>
  </r>
  <r>
    <x v="28"/>
    <x v="0"/>
    <s v="Accessories"/>
    <n v="2"/>
    <n v="120000"/>
    <n v="240000"/>
    <x v="0"/>
  </r>
  <r>
    <x v="29"/>
    <x v="4"/>
    <s v="Accessories"/>
    <n v="1"/>
    <n v="120000"/>
    <n v="120000"/>
    <x v="4"/>
  </r>
  <r>
    <x v="30"/>
    <x v="3"/>
    <s v="Video"/>
    <n v="5"/>
    <n v="50000"/>
    <n v="250000"/>
    <x v="1"/>
  </r>
  <r>
    <x v="30"/>
    <x v="3"/>
    <s v="Video"/>
    <n v="3"/>
    <n v="200000"/>
    <n v="600000"/>
    <x v="2"/>
  </r>
  <r>
    <x v="31"/>
    <x v="0"/>
    <s v="Accessories"/>
    <n v="2"/>
    <n v="50000"/>
    <n v="100000"/>
    <x v="2"/>
  </r>
  <r>
    <x v="32"/>
    <x v="3"/>
    <s v="Video"/>
    <n v="4"/>
    <n v="50000"/>
    <n v="200000"/>
    <x v="2"/>
  </r>
  <r>
    <x v="32"/>
    <x v="3"/>
    <s v="Video"/>
    <n v="4"/>
    <n v="75000"/>
    <n v="300000"/>
    <x v="0"/>
  </r>
  <r>
    <x v="32"/>
    <x v="2"/>
    <s v="Audio"/>
    <n v="4"/>
    <n v="75000"/>
    <n v="300000"/>
    <x v="1"/>
  </r>
  <r>
    <x v="33"/>
    <x v="4"/>
    <s v="Accessories"/>
    <n v="4"/>
    <n v="50000"/>
    <n v="200000"/>
    <x v="1"/>
  </r>
  <r>
    <x v="34"/>
    <x v="4"/>
    <s v="Accessories"/>
    <n v="5"/>
    <n v="300000"/>
    <n v="1500000"/>
    <x v="3"/>
  </r>
  <r>
    <x v="35"/>
    <x v="4"/>
    <s v="Accessories"/>
    <n v="3"/>
    <n v="75000"/>
    <n v="225000"/>
    <x v="3"/>
  </r>
  <r>
    <x v="35"/>
    <x v="3"/>
    <s v="Video"/>
    <n v="5"/>
    <n v="120000"/>
    <n v="600000"/>
    <x v="0"/>
  </r>
  <r>
    <x v="36"/>
    <x v="2"/>
    <s v="Audio"/>
    <n v="4"/>
    <n v="75000"/>
    <n v="300000"/>
    <x v="4"/>
  </r>
  <r>
    <x v="37"/>
    <x v="3"/>
    <s v="Video"/>
    <n v="3"/>
    <n v="50000"/>
    <n v="150000"/>
    <x v="1"/>
  </r>
  <r>
    <x v="38"/>
    <x v="0"/>
    <s v="Accessories"/>
    <n v="3"/>
    <n v="50000"/>
    <n v="150000"/>
    <x v="0"/>
  </r>
  <r>
    <x v="38"/>
    <x v="0"/>
    <s v="Accessories"/>
    <n v="2"/>
    <n v="120000"/>
    <n v="240000"/>
    <x v="1"/>
  </r>
  <r>
    <x v="39"/>
    <x v="3"/>
    <s v="Video"/>
    <n v="2"/>
    <n v="300000"/>
    <n v="600000"/>
    <x v="3"/>
  </r>
  <r>
    <x v="39"/>
    <x v="1"/>
    <s v="Accessories"/>
    <n v="4"/>
    <n v="75000"/>
    <n v="300000"/>
    <x v="2"/>
  </r>
  <r>
    <x v="40"/>
    <x v="1"/>
    <s v="Accessories"/>
    <n v="4"/>
    <n v="50000"/>
    <n v="200000"/>
    <x v="1"/>
  </r>
  <r>
    <x v="40"/>
    <x v="0"/>
    <s v="Accessories"/>
    <n v="2"/>
    <n v="300000"/>
    <n v="600000"/>
    <x v="0"/>
  </r>
  <r>
    <x v="40"/>
    <x v="1"/>
    <s v="Accessories"/>
    <n v="4"/>
    <n v="50000"/>
    <n v="200000"/>
    <x v="4"/>
  </r>
  <r>
    <x v="41"/>
    <x v="3"/>
    <s v="Video"/>
    <n v="3"/>
    <n v="300000"/>
    <n v="900000"/>
    <x v="2"/>
  </r>
  <r>
    <x v="42"/>
    <x v="3"/>
    <s v="Video"/>
    <n v="1"/>
    <n v="75000"/>
    <n v="75000"/>
    <x v="2"/>
  </r>
  <r>
    <x v="42"/>
    <x v="3"/>
    <s v="Video"/>
    <n v="3"/>
    <n v="75000"/>
    <n v="225000"/>
    <x v="4"/>
  </r>
  <r>
    <x v="43"/>
    <x v="4"/>
    <s v="Accessories"/>
    <n v="5"/>
    <n v="75000"/>
    <n v="375000"/>
    <x v="1"/>
  </r>
  <r>
    <x v="44"/>
    <x v="4"/>
    <s v="Accessories"/>
    <n v="2"/>
    <n v="50000"/>
    <n v="100000"/>
    <x v="1"/>
  </r>
  <r>
    <x v="44"/>
    <x v="3"/>
    <s v="Video"/>
    <n v="2"/>
    <n v="50000"/>
    <n v="100000"/>
    <x v="0"/>
  </r>
  <r>
    <x v="44"/>
    <x v="2"/>
    <s v="Audio"/>
    <n v="2"/>
    <n v="120000"/>
    <n v="240000"/>
    <x v="1"/>
  </r>
  <r>
    <x v="44"/>
    <x v="3"/>
    <s v="Video"/>
    <n v="5"/>
    <n v="200000"/>
    <n v="1000000"/>
    <x v="4"/>
  </r>
  <r>
    <x v="45"/>
    <x v="4"/>
    <s v="Accessories"/>
    <n v="3"/>
    <n v="75000"/>
    <n v="225000"/>
    <x v="2"/>
  </r>
  <r>
    <x v="45"/>
    <x v="0"/>
    <s v="Accessories"/>
    <n v="5"/>
    <n v="50000"/>
    <n v="250000"/>
    <x v="1"/>
  </r>
  <r>
    <x v="46"/>
    <x v="1"/>
    <s v="Accessories"/>
    <n v="5"/>
    <n v="300000"/>
    <n v="1500000"/>
    <x v="4"/>
  </r>
  <r>
    <x v="46"/>
    <x v="3"/>
    <s v="Video"/>
    <n v="1"/>
    <n v="75000"/>
    <n v="75000"/>
    <x v="0"/>
  </r>
  <r>
    <x v="46"/>
    <x v="0"/>
    <s v="Accessories"/>
    <n v="5"/>
    <n v="300000"/>
    <n v="1500000"/>
    <x v="4"/>
  </r>
  <r>
    <x v="47"/>
    <x v="0"/>
    <s v="Accessories"/>
    <n v="4"/>
    <n v="200000"/>
    <n v="800000"/>
    <x v="0"/>
  </r>
  <r>
    <x v="48"/>
    <x v="1"/>
    <s v="Accessories"/>
    <n v="4"/>
    <n v="120000"/>
    <n v="480000"/>
    <x v="4"/>
  </r>
  <r>
    <x v="48"/>
    <x v="0"/>
    <s v="Accessories"/>
    <n v="5"/>
    <n v="300000"/>
    <n v="1500000"/>
    <x v="4"/>
  </r>
  <r>
    <x v="48"/>
    <x v="4"/>
    <s v="Accessories"/>
    <n v="4"/>
    <n v="300000"/>
    <n v="1200000"/>
    <x v="4"/>
  </r>
  <r>
    <x v="49"/>
    <x v="2"/>
    <s v="Audio"/>
    <n v="4"/>
    <n v="200000"/>
    <n v="800000"/>
    <x v="0"/>
  </r>
  <r>
    <x v="49"/>
    <x v="3"/>
    <s v="Video"/>
    <n v="2"/>
    <n v="120000"/>
    <n v="240000"/>
    <x v="0"/>
  </r>
  <r>
    <x v="49"/>
    <x v="3"/>
    <s v="Video"/>
    <n v="4"/>
    <n v="300000"/>
    <n v="1200000"/>
    <x v="4"/>
  </r>
  <r>
    <x v="49"/>
    <x v="2"/>
    <s v="Audio"/>
    <n v="1"/>
    <n v="50000"/>
    <n v="50000"/>
    <x v="2"/>
  </r>
  <r>
    <x v="50"/>
    <x v="1"/>
    <s v="Accessories"/>
    <n v="1"/>
    <n v="300000"/>
    <n v="300000"/>
    <x v="0"/>
  </r>
  <r>
    <x v="51"/>
    <x v="0"/>
    <s v="Accessories"/>
    <n v="3"/>
    <n v="120000"/>
    <n v="360000"/>
    <x v="2"/>
  </r>
  <r>
    <x v="52"/>
    <x v="3"/>
    <s v="Video"/>
    <n v="5"/>
    <n v="300000"/>
    <n v="1500000"/>
    <x v="2"/>
  </r>
  <r>
    <x v="53"/>
    <x v="4"/>
    <s v="Accessories"/>
    <n v="5"/>
    <n v="50000"/>
    <n v="250000"/>
    <x v="2"/>
  </r>
  <r>
    <x v="54"/>
    <x v="3"/>
    <s v="Video"/>
    <n v="2"/>
    <n v="50000"/>
    <n v="100000"/>
    <x v="3"/>
  </r>
  <r>
    <x v="54"/>
    <x v="1"/>
    <s v="Accessories"/>
    <n v="2"/>
    <n v="200000"/>
    <n v="400000"/>
    <x v="3"/>
  </r>
  <r>
    <x v="55"/>
    <x v="4"/>
    <s v="Accessories"/>
    <n v="5"/>
    <n v="75000"/>
    <n v="375000"/>
    <x v="3"/>
  </r>
  <r>
    <x v="55"/>
    <x v="4"/>
    <s v="Accessories"/>
    <n v="2"/>
    <n v="300000"/>
    <n v="600000"/>
    <x v="1"/>
  </r>
  <r>
    <x v="56"/>
    <x v="3"/>
    <s v="Video"/>
    <n v="2"/>
    <n v="300000"/>
    <n v="600000"/>
    <x v="1"/>
  </r>
  <r>
    <x v="56"/>
    <x v="2"/>
    <s v="Audio"/>
    <n v="2"/>
    <n v="300000"/>
    <n v="600000"/>
    <x v="4"/>
  </r>
  <r>
    <x v="57"/>
    <x v="2"/>
    <s v="Audio"/>
    <n v="5"/>
    <n v="75000"/>
    <n v="375000"/>
    <x v="1"/>
  </r>
  <r>
    <x v="58"/>
    <x v="4"/>
    <s v="Accessories"/>
    <n v="1"/>
    <n v="300000"/>
    <n v="300000"/>
    <x v="0"/>
  </r>
  <r>
    <x v="59"/>
    <x v="4"/>
    <s v="Accessories"/>
    <n v="3"/>
    <n v="50000"/>
    <n v="150000"/>
    <x v="4"/>
  </r>
  <r>
    <x v="59"/>
    <x v="2"/>
    <s v="Audio"/>
    <n v="1"/>
    <n v="300000"/>
    <n v="300000"/>
    <x v="3"/>
  </r>
  <r>
    <x v="60"/>
    <x v="3"/>
    <s v="Video"/>
    <n v="3"/>
    <n v="120000"/>
    <n v="360000"/>
    <x v="2"/>
  </r>
  <r>
    <x v="60"/>
    <x v="4"/>
    <s v="Accessories"/>
    <n v="2"/>
    <n v="75000"/>
    <n v="150000"/>
    <x v="4"/>
  </r>
  <r>
    <x v="61"/>
    <x v="4"/>
    <s v="Accessories"/>
    <n v="4"/>
    <n v="120000"/>
    <n v="480000"/>
    <x v="0"/>
  </r>
  <r>
    <x v="62"/>
    <x v="4"/>
    <s v="Accessories"/>
    <n v="1"/>
    <n v="200000"/>
    <n v="200000"/>
    <x v="4"/>
  </r>
  <r>
    <x v="62"/>
    <x v="4"/>
    <s v="Accessories"/>
    <n v="4"/>
    <n v="75000"/>
    <n v="300000"/>
    <x v="1"/>
  </r>
  <r>
    <x v="63"/>
    <x v="3"/>
    <s v="Video"/>
    <n v="2"/>
    <n v="75000"/>
    <n v="150000"/>
    <x v="2"/>
  </r>
  <r>
    <x v="64"/>
    <x v="4"/>
    <s v="Accessories"/>
    <n v="3"/>
    <n v="50000"/>
    <n v="150000"/>
    <x v="0"/>
  </r>
  <r>
    <x v="65"/>
    <x v="1"/>
    <s v="Accessories"/>
    <n v="4"/>
    <n v="300000"/>
    <n v="1200000"/>
    <x v="0"/>
  </r>
  <r>
    <x v="66"/>
    <x v="3"/>
    <s v="Video"/>
    <n v="1"/>
    <n v="75000"/>
    <n v="75000"/>
    <x v="3"/>
  </r>
  <r>
    <x v="66"/>
    <x v="1"/>
    <s v="Accessories"/>
    <n v="3"/>
    <n v="75000"/>
    <n v="225000"/>
    <x v="1"/>
  </r>
  <r>
    <x v="67"/>
    <x v="0"/>
    <s v="Accessories"/>
    <n v="3"/>
    <n v="120000"/>
    <n v="360000"/>
    <x v="3"/>
  </r>
  <r>
    <x v="68"/>
    <x v="0"/>
    <s v="Accessories"/>
    <n v="4"/>
    <n v="120000"/>
    <n v="480000"/>
    <x v="4"/>
  </r>
  <r>
    <x v="68"/>
    <x v="2"/>
    <s v="Audio"/>
    <n v="5"/>
    <n v="75000"/>
    <n v="375000"/>
    <x v="3"/>
  </r>
  <r>
    <x v="68"/>
    <x v="3"/>
    <s v="Video"/>
    <n v="3"/>
    <n v="200000"/>
    <n v="600000"/>
    <x v="4"/>
  </r>
  <r>
    <x v="68"/>
    <x v="4"/>
    <s v="Accessories"/>
    <n v="4"/>
    <n v="300000"/>
    <n v="1200000"/>
    <x v="2"/>
  </r>
  <r>
    <x v="69"/>
    <x v="3"/>
    <s v="Video"/>
    <n v="4"/>
    <n v="300000"/>
    <n v="12000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3:F9" firstHeaderRow="1" firstDataRow="1" firstDataCol="1"/>
  <pivotFields count="8">
    <pivotField numFmtId="166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numFmtId="169" showAll="0"/>
    <pivotField dataField="1" numFmtId="169" showAll="0"/>
    <pivotField axis="axisRow" showAll="0">
      <items count="6">
        <item x="0"/>
        <item x="4"/>
        <item x="3"/>
        <item x="2"/>
        <item x="1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3:I7" firstHeaderRow="1" firstDataRow="1" firstDataCol="1"/>
  <pivotFields count="8">
    <pivotField axis="axisRow" numFmtId="166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numFmtId="169" showAll="0"/>
    <pivotField dataField="1" numFmtId="169" showAll="0"/>
    <pivotField showAll="0"/>
    <pivotField axis="axisRow" showAll="0" defaultSubtotal="0">
      <items count="14">
        <item sd="0" x="0"/>
        <item n="Januari" sd="0" x="1"/>
        <item n="Februari" sd="0" x="2"/>
        <item n="Maret"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7"/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9" firstHeaderRow="0" firstDataRow="1" firstDataCol="1"/>
  <pivotFields count="8">
    <pivotField numFmtId="166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6">
        <item x="2"/>
        <item x="1"/>
        <item x="4"/>
        <item x="0"/>
        <item x="3"/>
        <item t="default"/>
      </items>
    </pivotField>
    <pivotField showAll="0"/>
    <pivotField dataField="1" showAll="0"/>
    <pivotField numFmtId="169" showAll="0"/>
    <pivotField dataField="1" numFmtId="169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3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21"/>
  <sheetViews>
    <sheetView tabSelected="1" workbookViewId="0">
      <selection activeCell="E8" sqref="E8"/>
    </sheetView>
  </sheetViews>
  <sheetFormatPr defaultRowHeight="15" x14ac:dyDescent="0.25"/>
  <cols>
    <col min="1" max="1" width="10.7109375" style="1" bestFit="1" customWidth="1"/>
    <col min="2" max="2" width="13.5703125" style="1" bestFit="1" customWidth="1"/>
    <col min="3" max="3" width="11.28515625" style="1" bestFit="1" customWidth="1"/>
    <col min="4" max="4" width="3.85546875" style="1" bestFit="1" customWidth="1"/>
    <col min="5" max="5" width="11.28515625" style="1" bestFit="1" customWidth="1"/>
    <col min="6" max="6" width="12.85546875" style="1" bestFit="1" customWidth="1"/>
    <col min="7" max="7" width="10.5703125" style="1" bestFit="1" customWidth="1"/>
  </cols>
  <sheetData>
    <row r="1" spans="1:7" s="2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s="3">
        <v>45293</v>
      </c>
      <c r="B2" s="1" t="s">
        <v>16</v>
      </c>
      <c r="C2" s="1" t="s">
        <v>15</v>
      </c>
      <c r="D2" s="1">
        <v>5</v>
      </c>
      <c r="E2" s="4">
        <v>300000</v>
      </c>
      <c r="F2" s="4">
        <v>1500000</v>
      </c>
      <c r="G2" s="1" t="s">
        <v>12</v>
      </c>
    </row>
    <row r="3" spans="1:7" x14ac:dyDescent="0.25">
      <c r="A3" s="3">
        <v>45293</v>
      </c>
      <c r="B3" s="1" t="s">
        <v>18</v>
      </c>
      <c r="C3" s="1" t="s">
        <v>15</v>
      </c>
      <c r="D3" s="1">
        <v>5</v>
      </c>
      <c r="E3" s="4">
        <v>120000</v>
      </c>
      <c r="F3" s="4">
        <v>600000</v>
      </c>
      <c r="G3" s="1" t="s">
        <v>13</v>
      </c>
    </row>
    <row r="4" spans="1:7" x14ac:dyDescent="0.25">
      <c r="A4" s="3">
        <v>45293</v>
      </c>
      <c r="B4" s="1" t="s">
        <v>10</v>
      </c>
      <c r="C4" s="1" t="s">
        <v>11</v>
      </c>
      <c r="D4" s="1">
        <v>3</v>
      </c>
      <c r="E4" s="4">
        <v>75000</v>
      </c>
      <c r="F4" s="4">
        <v>225000</v>
      </c>
      <c r="G4" s="1" t="s">
        <v>17</v>
      </c>
    </row>
    <row r="5" spans="1:7" x14ac:dyDescent="0.25">
      <c r="A5" s="3">
        <v>45294</v>
      </c>
      <c r="B5" s="1" t="s">
        <v>18</v>
      </c>
      <c r="C5" s="1" t="s">
        <v>15</v>
      </c>
      <c r="D5" s="1">
        <v>5</v>
      </c>
      <c r="E5" s="4">
        <v>200000</v>
      </c>
      <c r="F5" s="4">
        <v>1000000</v>
      </c>
      <c r="G5" s="1" t="s">
        <v>17</v>
      </c>
    </row>
    <row r="6" spans="1:7" x14ac:dyDescent="0.25">
      <c r="A6" s="3">
        <v>45294</v>
      </c>
      <c r="B6" s="1" t="s">
        <v>16</v>
      </c>
      <c r="C6" s="1" t="s">
        <v>15</v>
      </c>
      <c r="D6" s="1">
        <v>2</v>
      </c>
      <c r="E6" s="4">
        <v>120000</v>
      </c>
      <c r="F6" s="4">
        <v>240000</v>
      </c>
      <c r="G6" s="1" t="s">
        <v>19</v>
      </c>
    </row>
    <row r="7" spans="1:7" x14ac:dyDescent="0.25">
      <c r="A7" s="3">
        <v>45295</v>
      </c>
      <c r="B7" s="1" t="s">
        <v>7</v>
      </c>
      <c r="C7" s="1" t="s">
        <v>8</v>
      </c>
      <c r="D7" s="1">
        <v>1</v>
      </c>
      <c r="E7" s="4">
        <v>200000</v>
      </c>
      <c r="F7" s="4">
        <v>200000</v>
      </c>
      <c r="G7" s="1" t="s">
        <v>12</v>
      </c>
    </row>
    <row r="8" spans="1:7" x14ac:dyDescent="0.25">
      <c r="A8" s="3">
        <v>45297</v>
      </c>
      <c r="B8" s="1" t="s">
        <v>18</v>
      </c>
      <c r="C8" s="1" t="s">
        <v>15</v>
      </c>
      <c r="D8" s="1">
        <v>5</v>
      </c>
      <c r="E8" s="4">
        <v>300000</v>
      </c>
      <c r="F8" s="4">
        <v>1500000</v>
      </c>
      <c r="G8" s="1" t="s">
        <v>19</v>
      </c>
    </row>
    <row r="9" spans="1:7" x14ac:dyDescent="0.25">
      <c r="A9" s="3">
        <v>45297</v>
      </c>
      <c r="B9" s="1" t="s">
        <v>16</v>
      </c>
      <c r="C9" s="1" t="s">
        <v>15</v>
      </c>
      <c r="D9" s="1">
        <v>2</v>
      </c>
      <c r="E9" s="4">
        <v>300000</v>
      </c>
      <c r="F9" s="4">
        <v>600000</v>
      </c>
      <c r="G9" s="1" t="s">
        <v>13</v>
      </c>
    </row>
    <row r="10" spans="1:7" x14ac:dyDescent="0.25">
      <c r="A10" s="3">
        <v>45298</v>
      </c>
      <c r="B10" s="1" t="s">
        <v>14</v>
      </c>
      <c r="C10" s="1" t="s">
        <v>15</v>
      </c>
      <c r="D10" s="1">
        <v>5</v>
      </c>
      <c r="E10" s="4">
        <v>120000</v>
      </c>
      <c r="F10" s="4">
        <v>600000</v>
      </c>
      <c r="G10" s="1" t="s">
        <v>12</v>
      </c>
    </row>
    <row r="11" spans="1:7" x14ac:dyDescent="0.25">
      <c r="A11" s="3">
        <v>45299</v>
      </c>
      <c r="B11" s="1" t="s">
        <v>18</v>
      </c>
      <c r="C11" s="1" t="s">
        <v>15</v>
      </c>
      <c r="D11" s="1">
        <v>5</v>
      </c>
      <c r="E11" s="4">
        <v>75000</v>
      </c>
      <c r="F11" s="4">
        <v>375000</v>
      </c>
      <c r="G11" s="1" t="s">
        <v>19</v>
      </c>
    </row>
    <row r="12" spans="1:7" x14ac:dyDescent="0.25">
      <c r="A12" s="3">
        <v>45300</v>
      </c>
      <c r="B12" s="1" t="s">
        <v>16</v>
      </c>
      <c r="C12" s="1" t="s">
        <v>15</v>
      </c>
      <c r="D12" s="1">
        <v>2</v>
      </c>
      <c r="E12" s="4">
        <v>120000</v>
      </c>
      <c r="F12" s="4">
        <v>240000</v>
      </c>
      <c r="G12" s="1" t="s">
        <v>19</v>
      </c>
    </row>
    <row r="13" spans="1:7" x14ac:dyDescent="0.25">
      <c r="A13" s="3">
        <v>45300</v>
      </c>
      <c r="B13" s="1" t="s">
        <v>14</v>
      </c>
      <c r="C13" s="1" t="s">
        <v>15</v>
      </c>
      <c r="D13" s="1">
        <v>1</v>
      </c>
      <c r="E13" s="4">
        <v>75000</v>
      </c>
      <c r="F13" s="4">
        <v>75000</v>
      </c>
      <c r="G13" s="1" t="s">
        <v>12</v>
      </c>
    </row>
    <row r="14" spans="1:7" x14ac:dyDescent="0.25">
      <c r="A14" s="3">
        <v>45301</v>
      </c>
      <c r="B14" s="1" t="s">
        <v>14</v>
      </c>
      <c r="C14" s="1" t="s">
        <v>15</v>
      </c>
      <c r="D14" s="1">
        <v>3</v>
      </c>
      <c r="E14" s="4">
        <v>120000</v>
      </c>
      <c r="F14" s="4">
        <v>360000</v>
      </c>
      <c r="G14" s="1" t="s">
        <v>12</v>
      </c>
    </row>
    <row r="15" spans="1:7" x14ac:dyDescent="0.25">
      <c r="A15" s="3">
        <v>45301</v>
      </c>
      <c r="B15" s="1" t="s">
        <v>14</v>
      </c>
      <c r="C15" s="1" t="s">
        <v>15</v>
      </c>
      <c r="D15" s="1">
        <v>1</v>
      </c>
      <c r="E15" s="4">
        <v>50000</v>
      </c>
      <c r="F15" s="4">
        <v>50000</v>
      </c>
      <c r="G15" s="1" t="s">
        <v>17</v>
      </c>
    </row>
    <row r="16" spans="1:7" x14ac:dyDescent="0.25">
      <c r="A16" s="3">
        <v>45302</v>
      </c>
      <c r="B16" s="1" t="s">
        <v>14</v>
      </c>
      <c r="C16" s="1" t="s">
        <v>15</v>
      </c>
      <c r="D16" s="1">
        <v>5</v>
      </c>
      <c r="E16" s="4">
        <v>300000</v>
      </c>
      <c r="F16" s="4">
        <v>1500000</v>
      </c>
      <c r="G16" s="1" t="s">
        <v>19</v>
      </c>
    </row>
    <row r="17" spans="1:7" x14ac:dyDescent="0.25">
      <c r="A17" s="3">
        <v>45303</v>
      </c>
      <c r="B17" s="1" t="s">
        <v>10</v>
      </c>
      <c r="C17" s="1" t="s">
        <v>11</v>
      </c>
      <c r="D17" s="1">
        <v>1</v>
      </c>
      <c r="E17" s="4">
        <v>300000</v>
      </c>
      <c r="F17" s="4">
        <v>300000</v>
      </c>
      <c r="G17" s="1" t="s">
        <v>17</v>
      </c>
    </row>
    <row r="18" spans="1:7" x14ac:dyDescent="0.25">
      <c r="A18" s="3">
        <v>45304</v>
      </c>
      <c r="B18" s="1" t="s">
        <v>10</v>
      </c>
      <c r="C18" s="1" t="s">
        <v>11</v>
      </c>
      <c r="D18" s="1">
        <v>1</v>
      </c>
      <c r="E18" s="4">
        <v>200000</v>
      </c>
      <c r="F18" s="4">
        <v>200000</v>
      </c>
      <c r="G18" s="1" t="s">
        <v>13</v>
      </c>
    </row>
    <row r="19" spans="1:7" x14ac:dyDescent="0.25">
      <c r="A19" s="3">
        <v>45304</v>
      </c>
      <c r="B19" s="1" t="s">
        <v>16</v>
      </c>
      <c r="C19" s="1" t="s">
        <v>15</v>
      </c>
      <c r="D19" s="1">
        <v>3</v>
      </c>
      <c r="E19" s="4">
        <v>50000</v>
      </c>
      <c r="F19" s="4">
        <v>150000</v>
      </c>
      <c r="G19" s="1" t="s">
        <v>9</v>
      </c>
    </row>
    <row r="20" spans="1:7" x14ac:dyDescent="0.25">
      <c r="A20" s="3">
        <v>45305</v>
      </c>
      <c r="B20" s="1" t="s">
        <v>18</v>
      </c>
      <c r="C20" s="1" t="s">
        <v>15</v>
      </c>
      <c r="D20" s="1">
        <v>5</v>
      </c>
      <c r="E20" s="4">
        <v>75000</v>
      </c>
      <c r="F20" s="4">
        <v>375000</v>
      </c>
      <c r="G20" s="1" t="s">
        <v>19</v>
      </c>
    </row>
    <row r="21" spans="1:7" x14ac:dyDescent="0.25">
      <c r="A21" s="3">
        <v>45305</v>
      </c>
      <c r="B21" s="1" t="s">
        <v>10</v>
      </c>
      <c r="C21" s="1" t="s">
        <v>11</v>
      </c>
      <c r="D21" s="1">
        <v>3</v>
      </c>
      <c r="E21" s="4">
        <v>300000</v>
      </c>
      <c r="F21" s="4">
        <v>900000</v>
      </c>
      <c r="G21" s="1" t="s">
        <v>13</v>
      </c>
    </row>
    <row r="22" spans="1:7" x14ac:dyDescent="0.25">
      <c r="A22" s="3">
        <v>45305</v>
      </c>
      <c r="B22" s="1" t="s">
        <v>7</v>
      </c>
      <c r="C22" s="1" t="s">
        <v>8</v>
      </c>
      <c r="D22" s="1">
        <v>5</v>
      </c>
      <c r="E22" s="4">
        <v>120000</v>
      </c>
      <c r="F22" s="4">
        <v>600000</v>
      </c>
      <c r="G22" s="1" t="s">
        <v>12</v>
      </c>
    </row>
    <row r="23" spans="1:7" x14ac:dyDescent="0.25">
      <c r="A23" s="3">
        <v>45306</v>
      </c>
      <c r="B23" s="1" t="s">
        <v>7</v>
      </c>
      <c r="C23" s="1" t="s">
        <v>8</v>
      </c>
      <c r="D23" s="1">
        <v>2</v>
      </c>
      <c r="E23" s="4">
        <v>120000</v>
      </c>
      <c r="F23" s="4">
        <v>240000</v>
      </c>
      <c r="G23" s="1" t="s">
        <v>17</v>
      </c>
    </row>
    <row r="24" spans="1:7" x14ac:dyDescent="0.25">
      <c r="A24" s="3">
        <v>45307</v>
      </c>
      <c r="B24" s="1" t="s">
        <v>18</v>
      </c>
      <c r="C24" s="1" t="s">
        <v>15</v>
      </c>
      <c r="D24" s="1">
        <v>5</v>
      </c>
      <c r="E24" s="4">
        <v>200000</v>
      </c>
      <c r="F24" s="4">
        <v>1000000</v>
      </c>
      <c r="G24" s="1" t="s">
        <v>19</v>
      </c>
    </row>
    <row r="25" spans="1:7" x14ac:dyDescent="0.25">
      <c r="A25" s="3">
        <v>45308</v>
      </c>
      <c r="B25" s="1" t="s">
        <v>16</v>
      </c>
      <c r="C25" s="1" t="s">
        <v>15</v>
      </c>
      <c r="D25" s="1">
        <v>3</v>
      </c>
      <c r="E25" s="4">
        <v>120000</v>
      </c>
      <c r="F25" s="4">
        <v>360000</v>
      </c>
      <c r="G25" s="1" t="s">
        <v>13</v>
      </c>
    </row>
    <row r="26" spans="1:7" x14ac:dyDescent="0.25">
      <c r="A26" s="3">
        <v>45308</v>
      </c>
      <c r="B26" s="1" t="s">
        <v>7</v>
      </c>
      <c r="C26" s="1" t="s">
        <v>8</v>
      </c>
      <c r="D26" s="1">
        <v>4</v>
      </c>
      <c r="E26" s="4">
        <v>75000</v>
      </c>
      <c r="F26" s="4">
        <v>300000</v>
      </c>
      <c r="G26" s="1" t="s">
        <v>9</v>
      </c>
    </row>
    <row r="27" spans="1:7" x14ac:dyDescent="0.25">
      <c r="A27" s="3">
        <v>45309</v>
      </c>
      <c r="B27" s="1" t="s">
        <v>7</v>
      </c>
      <c r="C27" s="1" t="s">
        <v>8</v>
      </c>
      <c r="D27" s="1">
        <v>1</v>
      </c>
      <c r="E27" s="4">
        <v>120000</v>
      </c>
      <c r="F27" s="4">
        <v>120000</v>
      </c>
      <c r="G27" s="1" t="s">
        <v>9</v>
      </c>
    </row>
    <row r="28" spans="1:7" x14ac:dyDescent="0.25">
      <c r="A28" s="3">
        <v>45309</v>
      </c>
      <c r="B28" s="1" t="s">
        <v>18</v>
      </c>
      <c r="C28" s="1" t="s">
        <v>15</v>
      </c>
      <c r="D28" s="1">
        <v>4</v>
      </c>
      <c r="E28" s="4">
        <v>75000</v>
      </c>
      <c r="F28" s="4">
        <v>300000</v>
      </c>
      <c r="G28" s="1" t="s">
        <v>17</v>
      </c>
    </row>
    <row r="29" spans="1:7" x14ac:dyDescent="0.25">
      <c r="A29" s="3">
        <v>45310</v>
      </c>
      <c r="B29" s="1" t="s">
        <v>14</v>
      </c>
      <c r="C29" s="1" t="s">
        <v>15</v>
      </c>
      <c r="D29" s="1">
        <v>2</v>
      </c>
      <c r="E29" s="4">
        <v>200000</v>
      </c>
      <c r="F29" s="4">
        <v>400000</v>
      </c>
      <c r="G29" s="1" t="s">
        <v>19</v>
      </c>
    </row>
    <row r="30" spans="1:7" x14ac:dyDescent="0.25">
      <c r="A30" s="3">
        <v>45310</v>
      </c>
      <c r="B30" s="1" t="s">
        <v>16</v>
      </c>
      <c r="C30" s="1" t="s">
        <v>15</v>
      </c>
      <c r="D30" s="1">
        <v>3</v>
      </c>
      <c r="E30" s="4">
        <v>50000</v>
      </c>
      <c r="F30" s="4">
        <v>150000</v>
      </c>
      <c r="G30" s="1" t="s">
        <v>19</v>
      </c>
    </row>
    <row r="31" spans="1:7" x14ac:dyDescent="0.25">
      <c r="A31" s="3">
        <v>45312</v>
      </c>
      <c r="B31" s="1" t="s">
        <v>14</v>
      </c>
      <c r="C31" s="1" t="s">
        <v>15</v>
      </c>
      <c r="D31" s="1">
        <v>4</v>
      </c>
      <c r="E31" s="4">
        <v>75000</v>
      </c>
      <c r="F31" s="4">
        <v>300000</v>
      </c>
      <c r="G31" s="1" t="s">
        <v>12</v>
      </c>
    </row>
    <row r="32" spans="1:7" x14ac:dyDescent="0.25">
      <c r="A32" s="3">
        <v>45312</v>
      </c>
      <c r="B32" s="1" t="s">
        <v>14</v>
      </c>
      <c r="C32" s="1" t="s">
        <v>15</v>
      </c>
      <c r="D32" s="1">
        <v>4</v>
      </c>
      <c r="E32" s="4">
        <v>200000</v>
      </c>
      <c r="F32" s="4">
        <v>800000</v>
      </c>
      <c r="G32" s="1" t="s">
        <v>19</v>
      </c>
    </row>
    <row r="33" spans="1:7" x14ac:dyDescent="0.25">
      <c r="A33" s="3">
        <v>45313</v>
      </c>
      <c r="B33" s="1" t="s">
        <v>18</v>
      </c>
      <c r="C33" s="1" t="s">
        <v>15</v>
      </c>
      <c r="D33" s="1">
        <v>3</v>
      </c>
      <c r="E33" s="4">
        <v>200000</v>
      </c>
      <c r="F33" s="4">
        <v>600000</v>
      </c>
      <c r="G33" s="1" t="s">
        <v>17</v>
      </c>
    </row>
    <row r="34" spans="1:7" x14ac:dyDescent="0.25">
      <c r="A34" s="3">
        <v>45313</v>
      </c>
      <c r="B34" s="1" t="s">
        <v>7</v>
      </c>
      <c r="C34" s="1" t="s">
        <v>8</v>
      </c>
      <c r="D34" s="1">
        <v>2</v>
      </c>
      <c r="E34" s="4">
        <v>120000</v>
      </c>
      <c r="F34" s="4">
        <v>240000</v>
      </c>
      <c r="G34" s="1" t="s">
        <v>17</v>
      </c>
    </row>
    <row r="35" spans="1:7" x14ac:dyDescent="0.25">
      <c r="A35" s="3">
        <v>45314</v>
      </c>
      <c r="B35" s="1" t="s">
        <v>16</v>
      </c>
      <c r="C35" s="1" t="s">
        <v>15</v>
      </c>
      <c r="D35" s="1">
        <v>2</v>
      </c>
      <c r="E35" s="4">
        <v>120000</v>
      </c>
      <c r="F35" s="4">
        <v>240000</v>
      </c>
      <c r="G35" s="1" t="s">
        <v>17</v>
      </c>
    </row>
    <row r="36" spans="1:7" x14ac:dyDescent="0.25">
      <c r="A36" s="3">
        <v>45315</v>
      </c>
      <c r="B36" s="1" t="s">
        <v>18</v>
      </c>
      <c r="C36" s="1" t="s">
        <v>15</v>
      </c>
      <c r="D36" s="1">
        <v>5</v>
      </c>
      <c r="E36" s="4">
        <v>120000</v>
      </c>
      <c r="F36" s="4">
        <v>600000</v>
      </c>
      <c r="G36" s="1" t="s">
        <v>12</v>
      </c>
    </row>
    <row r="37" spans="1:7" x14ac:dyDescent="0.25">
      <c r="A37" s="3">
        <v>45317</v>
      </c>
      <c r="B37" s="1" t="s">
        <v>16</v>
      </c>
      <c r="C37" s="1" t="s">
        <v>15</v>
      </c>
      <c r="D37" s="1">
        <v>3</v>
      </c>
      <c r="E37" s="4">
        <v>50000</v>
      </c>
      <c r="F37" s="4">
        <v>150000</v>
      </c>
      <c r="G37" s="1" t="s">
        <v>17</v>
      </c>
    </row>
    <row r="38" spans="1:7" x14ac:dyDescent="0.25">
      <c r="A38" s="3">
        <v>45318</v>
      </c>
      <c r="B38" s="1" t="s">
        <v>10</v>
      </c>
      <c r="C38" s="1" t="s">
        <v>11</v>
      </c>
      <c r="D38" s="1">
        <v>1</v>
      </c>
      <c r="E38" s="4">
        <v>200000</v>
      </c>
      <c r="F38" s="4">
        <v>200000</v>
      </c>
      <c r="G38" s="1" t="s">
        <v>17</v>
      </c>
    </row>
    <row r="39" spans="1:7" x14ac:dyDescent="0.25">
      <c r="A39" s="3">
        <v>45318</v>
      </c>
      <c r="B39" s="1" t="s">
        <v>16</v>
      </c>
      <c r="C39" s="1" t="s">
        <v>15</v>
      </c>
      <c r="D39" s="1">
        <v>5</v>
      </c>
      <c r="E39" s="4">
        <v>50000</v>
      </c>
      <c r="F39" s="4">
        <v>250000</v>
      </c>
      <c r="G39" s="1" t="s">
        <v>17</v>
      </c>
    </row>
    <row r="40" spans="1:7" x14ac:dyDescent="0.25">
      <c r="A40" s="3">
        <v>45319</v>
      </c>
      <c r="B40" s="1" t="s">
        <v>7</v>
      </c>
      <c r="C40" s="1" t="s">
        <v>8</v>
      </c>
      <c r="D40" s="1">
        <v>5</v>
      </c>
      <c r="E40" s="4">
        <v>200000</v>
      </c>
      <c r="F40" s="4">
        <v>1000000</v>
      </c>
      <c r="G40" s="1" t="s">
        <v>17</v>
      </c>
    </row>
    <row r="41" spans="1:7" x14ac:dyDescent="0.25">
      <c r="A41" s="3">
        <v>45319</v>
      </c>
      <c r="B41" s="1" t="s">
        <v>7</v>
      </c>
      <c r="C41" s="1" t="s">
        <v>8</v>
      </c>
      <c r="D41" s="1">
        <v>1</v>
      </c>
      <c r="E41" s="4">
        <v>200000</v>
      </c>
      <c r="F41" s="4">
        <v>200000</v>
      </c>
      <c r="G41" s="1" t="s">
        <v>13</v>
      </c>
    </row>
    <row r="42" spans="1:7" x14ac:dyDescent="0.25">
      <c r="A42" s="3">
        <v>45320</v>
      </c>
      <c r="B42" s="1" t="s">
        <v>7</v>
      </c>
      <c r="C42" s="1" t="s">
        <v>8</v>
      </c>
      <c r="D42" s="1">
        <v>1</v>
      </c>
      <c r="E42" s="4">
        <v>120000</v>
      </c>
      <c r="F42" s="4">
        <v>120000</v>
      </c>
      <c r="G42" s="1" t="s">
        <v>17</v>
      </c>
    </row>
    <row r="43" spans="1:7" x14ac:dyDescent="0.25">
      <c r="A43" s="3">
        <v>45321</v>
      </c>
      <c r="B43" s="1" t="s">
        <v>10</v>
      </c>
      <c r="C43" s="1" t="s">
        <v>11</v>
      </c>
      <c r="D43" s="1">
        <v>3</v>
      </c>
      <c r="E43" s="4">
        <v>50000</v>
      </c>
      <c r="F43" s="4">
        <v>150000</v>
      </c>
      <c r="G43" s="1" t="s">
        <v>17</v>
      </c>
    </row>
    <row r="44" spans="1:7" x14ac:dyDescent="0.25">
      <c r="A44" s="3">
        <v>45321</v>
      </c>
      <c r="B44" s="1" t="s">
        <v>10</v>
      </c>
      <c r="C44" s="1" t="s">
        <v>11</v>
      </c>
      <c r="D44" s="1">
        <v>1</v>
      </c>
      <c r="E44" s="4">
        <v>75000</v>
      </c>
      <c r="F44" s="4">
        <v>75000</v>
      </c>
      <c r="G44" s="1" t="s">
        <v>19</v>
      </c>
    </row>
    <row r="45" spans="1:7" x14ac:dyDescent="0.25">
      <c r="A45" s="3">
        <v>45323</v>
      </c>
      <c r="B45" s="1" t="s">
        <v>10</v>
      </c>
      <c r="C45" s="1" t="s">
        <v>11</v>
      </c>
      <c r="D45" s="1">
        <v>1</v>
      </c>
      <c r="E45" s="4">
        <v>120000</v>
      </c>
      <c r="F45" s="4">
        <v>120000</v>
      </c>
      <c r="G45" s="1" t="s">
        <v>19</v>
      </c>
    </row>
    <row r="46" spans="1:7" x14ac:dyDescent="0.25">
      <c r="A46" s="3">
        <v>45324</v>
      </c>
      <c r="B46" s="1" t="s">
        <v>14</v>
      </c>
      <c r="C46" s="1" t="s">
        <v>15</v>
      </c>
      <c r="D46" s="1">
        <v>1</v>
      </c>
      <c r="E46" s="4">
        <v>50000</v>
      </c>
      <c r="F46" s="4">
        <v>50000</v>
      </c>
      <c r="G46" s="1" t="s">
        <v>9</v>
      </c>
    </row>
    <row r="47" spans="1:7" x14ac:dyDescent="0.25">
      <c r="A47" s="3">
        <v>45324</v>
      </c>
      <c r="B47" s="1" t="s">
        <v>14</v>
      </c>
      <c r="C47" s="1" t="s">
        <v>15</v>
      </c>
      <c r="D47" s="1">
        <v>4</v>
      </c>
      <c r="E47" s="4">
        <v>200000</v>
      </c>
      <c r="F47" s="4">
        <v>800000</v>
      </c>
      <c r="G47" s="1" t="s">
        <v>19</v>
      </c>
    </row>
    <row r="48" spans="1:7" x14ac:dyDescent="0.25">
      <c r="A48" s="3">
        <v>45324</v>
      </c>
      <c r="B48" s="1" t="s">
        <v>7</v>
      </c>
      <c r="C48" s="1" t="s">
        <v>8</v>
      </c>
      <c r="D48" s="1">
        <v>4</v>
      </c>
      <c r="E48" s="4">
        <v>300000</v>
      </c>
      <c r="F48" s="4">
        <v>1200000</v>
      </c>
      <c r="G48" s="1" t="s">
        <v>13</v>
      </c>
    </row>
    <row r="49" spans="1:7" x14ac:dyDescent="0.25">
      <c r="A49" s="3">
        <v>45325</v>
      </c>
      <c r="B49" s="1" t="s">
        <v>16</v>
      </c>
      <c r="C49" s="1" t="s">
        <v>15</v>
      </c>
      <c r="D49" s="1">
        <v>5</v>
      </c>
      <c r="E49" s="4">
        <v>75000</v>
      </c>
      <c r="F49" s="4">
        <v>375000</v>
      </c>
      <c r="G49" s="1" t="s">
        <v>17</v>
      </c>
    </row>
    <row r="50" spans="1:7" x14ac:dyDescent="0.25">
      <c r="A50" s="3">
        <v>45325</v>
      </c>
      <c r="B50" s="1" t="s">
        <v>16</v>
      </c>
      <c r="C50" s="1" t="s">
        <v>15</v>
      </c>
      <c r="D50" s="1">
        <v>2</v>
      </c>
      <c r="E50" s="4">
        <v>120000</v>
      </c>
      <c r="F50" s="4">
        <v>240000</v>
      </c>
      <c r="G50" s="1" t="s">
        <v>12</v>
      </c>
    </row>
    <row r="51" spans="1:7" x14ac:dyDescent="0.25">
      <c r="A51" s="3">
        <v>45327</v>
      </c>
      <c r="B51" s="1" t="s">
        <v>14</v>
      </c>
      <c r="C51" s="1" t="s">
        <v>15</v>
      </c>
      <c r="D51" s="1">
        <v>1</v>
      </c>
      <c r="E51" s="4">
        <v>120000</v>
      </c>
      <c r="F51" s="4">
        <v>120000</v>
      </c>
      <c r="G51" s="1" t="s">
        <v>9</v>
      </c>
    </row>
    <row r="52" spans="1:7" x14ac:dyDescent="0.25">
      <c r="A52" s="3">
        <v>45329</v>
      </c>
      <c r="B52" s="1" t="s">
        <v>7</v>
      </c>
      <c r="C52" s="1" t="s">
        <v>8</v>
      </c>
      <c r="D52" s="1">
        <v>5</v>
      </c>
      <c r="E52" s="4">
        <v>50000</v>
      </c>
      <c r="F52" s="4">
        <v>250000</v>
      </c>
      <c r="G52" s="1" t="s">
        <v>13</v>
      </c>
    </row>
    <row r="53" spans="1:7" x14ac:dyDescent="0.25">
      <c r="A53" s="3">
        <v>45329</v>
      </c>
      <c r="B53" s="1" t="s">
        <v>7</v>
      </c>
      <c r="C53" s="1" t="s">
        <v>8</v>
      </c>
      <c r="D53" s="1">
        <v>3</v>
      </c>
      <c r="E53" s="4">
        <v>200000</v>
      </c>
      <c r="F53" s="4">
        <v>600000</v>
      </c>
      <c r="G53" s="1" t="s">
        <v>17</v>
      </c>
    </row>
    <row r="54" spans="1:7" x14ac:dyDescent="0.25">
      <c r="A54" s="3">
        <v>45330</v>
      </c>
      <c r="B54" s="1" t="s">
        <v>16</v>
      </c>
      <c r="C54" s="1" t="s">
        <v>15</v>
      </c>
      <c r="D54" s="1">
        <v>2</v>
      </c>
      <c r="E54" s="4">
        <v>50000</v>
      </c>
      <c r="F54" s="4">
        <v>100000</v>
      </c>
      <c r="G54" s="1" t="s">
        <v>17</v>
      </c>
    </row>
    <row r="55" spans="1:7" x14ac:dyDescent="0.25">
      <c r="A55" s="3">
        <v>45332</v>
      </c>
      <c r="B55" s="1" t="s">
        <v>7</v>
      </c>
      <c r="C55" s="1" t="s">
        <v>8</v>
      </c>
      <c r="D55" s="1">
        <v>4</v>
      </c>
      <c r="E55" s="4">
        <v>50000</v>
      </c>
      <c r="F55" s="4">
        <v>200000</v>
      </c>
      <c r="G55" s="1" t="s">
        <v>17</v>
      </c>
    </row>
    <row r="56" spans="1:7" x14ac:dyDescent="0.25">
      <c r="A56" s="3">
        <v>45332</v>
      </c>
      <c r="B56" s="1" t="s">
        <v>7</v>
      </c>
      <c r="C56" s="1" t="s">
        <v>8</v>
      </c>
      <c r="D56" s="1">
        <v>4</v>
      </c>
      <c r="E56" s="4">
        <v>75000</v>
      </c>
      <c r="F56" s="4">
        <v>300000</v>
      </c>
      <c r="G56" s="1" t="s">
        <v>12</v>
      </c>
    </row>
    <row r="57" spans="1:7" x14ac:dyDescent="0.25">
      <c r="A57" s="3">
        <v>45332</v>
      </c>
      <c r="B57" s="1" t="s">
        <v>10</v>
      </c>
      <c r="C57" s="1" t="s">
        <v>11</v>
      </c>
      <c r="D57" s="1">
        <v>4</v>
      </c>
      <c r="E57" s="4">
        <v>75000</v>
      </c>
      <c r="F57" s="4">
        <v>300000</v>
      </c>
      <c r="G57" s="1" t="s">
        <v>13</v>
      </c>
    </row>
    <row r="58" spans="1:7" x14ac:dyDescent="0.25">
      <c r="A58" s="3">
        <v>45333</v>
      </c>
      <c r="B58" s="1" t="s">
        <v>14</v>
      </c>
      <c r="C58" s="1" t="s">
        <v>15</v>
      </c>
      <c r="D58" s="1">
        <v>4</v>
      </c>
      <c r="E58" s="4">
        <v>50000</v>
      </c>
      <c r="F58" s="4">
        <v>200000</v>
      </c>
      <c r="G58" s="1" t="s">
        <v>13</v>
      </c>
    </row>
    <row r="59" spans="1:7" x14ac:dyDescent="0.25">
      <c r="A59" s="3">
        <v>45334</v>
      </c>
      <c r="B59" s="1" t="s">
        <v>14</v>
      </c>
      <c r="C59" s="1" t="s">
        <v>15</v>
      </c>
      <c r="D59" s="1">
        <v>5</v>
      </c>
      <c r="E59" s="4">
        <v>300000</v>
      </c>
      <c r="F59" s="4">
        <v>1500000</v>
      </c>
      <c r="G59" s="1" t="s">
        <v>19</v>
      </c>
    </row>
    <row r="60" spans="1:7" x14ac:dyDescent="0.25">
      <c r="A60" s="3">
        <v>45335</v>
      </c>
      <c r="B60" s="1" t="s">
        <v>14</v>
      </c>
      <c r="C60" s="1" t="s">
        <v>15</v>
      </c>
      <c r="D60" s="1">
        <v>3</v>
      </c>
      <c r="E60" s="4">
        <v>75000</v>
      </c>
      <c r="F60" s="4">
        <v>225000</v>
      </c>
      <c r="G60" s="1" t="s">
        <v>19</v>
      </c>
    </row>
    <row r="61" spans="1:7" x14ac:dyDescent="0.25">
      <c r="A61" s="3">
        <v>45335</v>
      </c>
      <c r="B61" s="1" t="s">
        <v>7</v>
      </c>
      <c r="C61" s="1" t="s">
        <v>8</v>
      </c>
      <c r="D61" s="1">
        <v>5</v>
      </c>
      <c r="E61" s="4">
        <v>120000</v>
      </c>
      <c r="F61" s="4">
        <v>600000</v>
      </c>
      <c r="G61" s="1" t="s">
        <v>12</v>
      </c>
    </row>
    <row r="62" spans="1:7" x14ac:dyDescent="0.25">
      <c r="A62" s="3">
        <v>45337</v>
      </c>
      <c r="B62" s="1" t="s">
        <v>10</v>
      </c>
      <c r="C62" s="1" t="s">
        <v>11</v>
      </c>
      <c r="D62" s="1">
        <v>4</v>
      </c>
      <c r="E62" s="4">
        <v>75000</v>
      </c>
      <c r="F62" s="4">
        <v>300000</v>
      </c>
      <c r="G62" s="1" t="s">
        <v>9</v>
      </c>
    </row>
    <row r="63" spans="1:7" x14ac:dyDescent="0.25">
      <c r="A63" s="3">
        <v>45338</v>
      </c>
      <c r="B63" s="1" t="s">
        <v>7</v>
      </c>
      <c r="C63" s="1" t="s">
        <v>8</v>
      </c>
      <c r="D63" s="1">
        <v>3</v>
      </c>
      <c r="E63" s="4">
        <v>50000</v>
      </c>
      <c r="F63" s="4">
        <v>150000</v>
      </c>
      <c r="G63" s="1" t="s">
        <v>13</v>
      </c>
    </row>
    <row r="64" spans="1:7" x14ac:dyDescent="0.25">
      <c r="A64" s="3">
        <v>45340</v>
      </c>
      <c r="B64" s="1" t="s">
        <v>16</v>
      </c>
      <c r="C64" s="1" t="s">
        <v>15</v>
      </c>
      <c r="D64" s="1">
        <v>3</v>
      </c>
      <c r="E64" s="4">
        <v>50000</v>
      </c>
      <c r="F64" s="4">
        <v>150000</v>
      </c>
      <c r="G64" s="1" t="s">
        <v>12</v>
      </c>
    </row>
    <row r="65" spans="1:7" x14ac:dyDescent="0.25">
      <c r="A65" s="3">
        <v>45340</v>
      </c>
      <c r="B65" s="1" t="s">
        <v>16</v>
      </c>
      <c r="C65" s="1" t="s">
        <v>15</v>
      </c>
      <c r="D65" s="1">
        <v>2</v>
      </c>
      <c r="E65" s="4">
        <v>120000</v>
      </c>
      <c r="F65" s="4">
        <v>240000</v>
      </c>
      <c r="G65" s="1" t="s">
        <v>13</v>
      </c>
    </row>
    <row r="66" spans="1:7" x14ac:dyDescent="0.25">
      <c r="A66" s="3">
        <v>45341</v>
      </c>
      <c r="B66" s="1" t="s">
        <v>7</v>
      </c>
      <c r="C66" s="1" t="s">
        <v>8</v>
      </c>
      <c r="D66" s="1">
        <v>2</v>
      </c>
      <c r="E66" s="4">
        <v>300000</v>
      </c>
      <c r="F66" s="4">
        <v>600000</v>
      </c>
      <c r="G66" s="1" t="s">
        <v>19</v>
      </c>
    </row>
    <row r="67" spans="1:7" x14ac:dyDescent="0.25">
      <c r="A67" s="3">
        <v>45341</v>
      </c>
      <c r="B67" s="1" t="s">
        <v>18</v>
      </c>
      <c r="C67" s="1" t="s">
        <v>15</v>
      </c>
      <c r="D67" s="1">
        <v>4</v>
      </c>
      <c r="E67" s="4">
        <v>75000</v>
      </c>
      <c r="F67" s="4">
        <v>300000</v>
      </c>
      <c r="G67" s="1" t="s">
        <v>17</v>
      </c>
    </row>
    <row r="68" spans="1:7" x14ac:dyDescent="0.25">
      <c r="A68" s="3">
        <v>45342</v>
      </c>
      <c r="B68" s="1" t="s">
        <v>18</v>
      </c>
      <c r="C68" s="1" t="s">
        <v>15</v>
      </c>
      <c r="D68" s="1">
        <v>4</v>
      </c>
      <c r="E68" s="4">
        <v>50000</v>
      </c>
      <c r="F68" s="4">
        <v>200000</v>
      </c>
      <c r="G68" s="1" t="s">
        <v>13</v>
      </c>
    </row>
    <row r="69" spans="1:7" x14ac:dyDescent="0.25">
      <c r="A69" s="3">
        <v>45342</v>
      </c>
      <c r="B69" s="1" t="s">
        <v>16</v>
      </c>
      <c r="C69" s="1" t="s">
        <v>15</v>
      </c>
      <c r="D69" s="1">
        <v>2</v>
      </c>
      <c r="E69" s="4">
        <v>300000</v>
      </c>
      <c r="F69" s="4">
        <v>600000</v>
      </c>
      <c r="G69" s="1" t="s">
        <v>12</v>
      </c>
    </row>
    <row r="70" spans="1:7" x14ac:dyDescent="0.25">
      <c r="A70" s="3">
        <v>45342</v>
      </c>
      <c r="B70" s="1" t="s">
        <v>18</v>
      </c>
      <c r="C70" s="1" t="s">
        <v>15</v>
      </c>
      <c r="D70" s="1">
        <v>4</v>
      </c>
      <c r="E70" s="4">
        <v>50000</v>
      </c>
      <c r="F70" s="4">
        <v>200000</v>
      </c>
      <c r="G70" s="1" t="s">
        <v>9</v>
      </c>
    </row>
    <row r="71" spans="1:7" x14ac:dyDescent="0.25">
      <c r="A71" s="3">
        <v>45343</v>
      </c>
      <c r="B71" s="1" t="s">
        <v>7</v>
      </c>
      <c r="C71" s="1" t="s">
        <v>8</v>
      </c>
      <c r="D71" s="1">
        <v>3</v>
      </c>
      <c r="E71" s="4">
        <v>300000</v>
      </c>
      <c r="F71" s="4">
        <v>900000</v>
      </c>
      <c r="G71" s="1" t="s">
        <v>17</v>
      </c>
    </row>
    <row r="72" spans="1:7" x14ac:dyDescent="0.25">
      <c r="A72" s="3">
        <v>45345</v>
      </c>
      <c r="B72" s="1" t="s">
        <v>7</v>
      </c>
      <c r="C72" s="1" t="s">
        <v>8</v>
      </c>
      <c r="D72" s="1">
        <v>1</v>
      </c>
      <c r="E72" s="4">
        <v>75000</v>
      </c>
      <c r="F72" s="4">
        <v>75000</v>
      </c>
      <c r="G72" s="1" t="s">
        <v>17</v>
      </c>
    </row>
    <row r="73" spans="1:7" x14ac:dyDescent="0.25">
      <c r="A73" s="3">
        <v>45345</v>
      </c>
      <c r="B73" s="1" t="s">
        <v>7</v>
      </c>
      <c r="C73" s="1" t="s">
        <v>8</v>
      </c>
      <c r="D73" s="1">
        <v>3</v>
      </c>
      <c r="E73" s="4">
        <v>75000</v>
      </c>
      <c r="F73" s="4">
        <v>225000</v>
      </c>
      <c r="G73" s="1" t="s">
        <v>9</v>
      </c>
    </row>
    <row r="74" spans="1:7" x14ac:dyDescent="0.25">
      <c r="A74" s="3">
        <v>45346</v>
      </c>
      <c r="B74" s="1" t="s">
        <v>14</v>
      </c>
      <c r="C74" s="1" t="s">
        <v>15</v>
      </c>
      <c r="D74" s="1">
        <v>5</v>
      </c>
      <c r="E74" s="4">
        <v>75000</v>
      </c>
      <c r="F74" s="4">
        <v>375000</v>
      </c>
      <c r="G74" s="1" t="s">
        <v>13</v>
      </c>
    </row>
    <row r="75" spans="1:7" x14ac:dyDescent="0.25">
      <c r="A75" s="3">
        <v>45347</v>
      </c>
      <c r="B75" s="1" t="s">
        <v>14</v>
      </c>
      <c r="C75" s="1" t="s">
        <v>15</v>
      </c>
      <c r="D75" s="1">
        <v>2</v>
      </c>
      <c r="E75" s="4">
        <v>50000</v>
      </c>
      <c r="F75" s="4">
        <v>100000</v>
      </c>
      <c r="G75" s="1" t="s">
        <v>13</v>
      </c>
    </row>
    <row r="76" spans="1:7" x14ac:dyDescent="0.25">
      <c r="A76" s="3">
        <v>45347</v>
      </c>
      <c r="B76" s="1" t="s">
        <v>7</v>
      </c>
      <c r="C76" s="1" t="s">
        <v>8</v>
      </c>
      <c r="D76" s="1">
        <v>2</v>
      </c>
      <c r="E76" s="4">
        <v>50000</v>
      </c>
      <c r="F76" s="4">
        <v>100000</v>
      </c>
      <c r="G76" s="1" t="s">
        <v>12</v>
      </c>
    </row>
    <row r="77" spans="1:7" x14ac:dyDescent="0.25">
      <c r="A77" s="3">
        <v>45347</v>
      </c>
      <c r="B77" s="1" t="s">
        <v>10</v>
      </c>
      <c r="C77" s="1" t="s">
        <v>11</v>
      </c>
      <c r="D77" s="1">
        <v>2</v>
      </c>
      <c r="E77" s="4">
        <v>120000</v>
      </c>
      <c r="F77" s="4">
        <v>240000</v>
      </c>
      <c r="G77" s="1" t="s">
        <v>13</v>
      </c>
    </row>
    <row r="78" spans="1:7" x14ac:dyDescent="0.25">
      <c r="A78" s="3">
        <v>45347</v>
      </c>
      <c r="B78" s="1" t="s">
        <v>7</v>
      </c>
      <c r="C78" s="1" t="s">
        <v>8</v>
      </c>
      <c r="D78" s="1">
        <v>5</v>
      </c>
      <c r="E78" s="4">
        <v>200000</v>
      </c>
      <c r="F78" s="4">
        <v>1000000</v>
      </c>
      <c r="G78" s="1" t="s">
        <v>9</v>
      </c>
    </row>
    <row r="79" spans="1:7" x14ac:dyDescent="0.25">
      <c r="A79" s="3">
        <v>45349</v>
      </c>
      <c r="B79" s="1" t="s">
        <v>14</v>
      </c>
      <c r="C79" s="1" t="s">
        <v>15</v>
      </c>
      <c r="D79" s="1">
        <v>3</v>
      </c>
      <c r="E79" s="4">
        <v>75000</v>
      </c>
      <c r="F79" s="4">
        <v>225000</v>
      </c>
      <c r="G79" s="1" t="s">
        <v>17</v>
      </c>
    </row>
    <row r="80" spans="1:7" x14ac:dyDescent="0.25">
      <c r="A80" s="3">
        <v>45349</v>
      </c>
      <c r="B80" s="1" t="s">
        <v>16</v>
      </c>
      <c r="C80" s="1" t="s">
        <v>15</v>
      </c>
      <c r="D80" s="1">
        <v>5</v>
      </c>
      <c r="E80" s="4">
        <v>50000</v>
      </c>
      <c r="F80" s="4">
        <v>250000</v>
      </c>
      <c r="G80" s="1" t="s">
        <v>13</v>
      </c>
    </row>
    <row r="81" spans="1:7" x14ac:dyDescent="0.25">
      <c r="A81" s="3">
        <v>45350</v>
      </c>
      <c r="B81" s="1" t="s">
        <v>18</v>
      </c>
      <c r="C81" s="1" t="s">
        <v>15</v>
      </c>
      <c r="D81" s="1">
        <v>5</v>
      </c>
      <c r="E81" s="4">
        <v>300000</v>
      </c>
      <c r="F81" s="4">
        <v>1500000</v>
      </c>
      <c r="G81" s="1" t="s">
        <v>9</v>
      </c>
    </row>
    <row r="82" spans="1:7" x14ac:dyDescent="0.25">
      <c r="A82" s="3">
        <v>45350</v>
      </c>
      <c r="B82" s="1" t="s">
        <v>7</v>
      </c>
      <c r="C82" s="1" t="s">
        <v>8</v>
      </c>
      <c r="D82" s="1">
        <v>1</v>
      </c>
      <c r="E82" s="4">
        <v>75000</v>
      </c>
      <c r="F82" s="4">
        <v>75000</v>
      </c>
      <c r="G82" s="1" t="s">
        <v>12</v>
      </c>
    </row>
    <row r="83" spans="1:7" x14ac:dyDescent="0.25">
      <c r="A83" s="3">
        <v>45350</v>
      </c>
      <c r="B83" s="1" t="s">
        <v>16</v>
      </c>
      <c r="C83" s="1" t="s">
        <v>15</v>
      </c>
      <c r="D83" s="1">
        <v>5</v>
      </c>
      <c r="E83" s="4">
        <v>300000</v>
      </c>
      <c r="F83" s="4">
        <v>1500000</v>
      </c>
      <c r="G83" s="1" t="s">
        <v>9</v>
      </c>
    </row>
    <row r="84" spans="1:7" x14ac:dyDescent="0.25">
      <c r="A84" s="3">
        <v>45353</v>
      </c>
      <c r="B84" s="1" t="s">
        <v>16</v>
      </c>
      <c r="C84" s="1" t="s">
        <v>15</v>
      </c>
      <c r="D84" s="1">
        <v>4</v>
      </c>
      <c r="E84" s="4">
        <v>200000</v>
      </c>
      <c r="F84" s="4">
        <v>800000</v>
      </c>
      <c r="G84" s="1" t="s">
        <v>12</v>
      </c>
    </row>
    <row r="85" spans="1:7" x14ac:dyDescent="0.25">
      <c r="A85" s="3">
        <v>45354</v>
      </c>
      <c r="B85" s="1" t="s">
        <v>18</v>
      </c>
      <c r="C85" s="1" t="s">
        <v>15</v>
      </c>
      <c r="D85" s="1">
        <v>4</v>
      </c>
      <c r="E85" s="4">
        <v>120000</v>
      </c>
      <c r="F85" s="4">
        <v>480000</v>
      </c>
      <c r="G85" s="1" t="s">
        <v>9</v>
      </c>
    </row>
    <row r="86" spans="1:7" x14ac:dyDescent="0.25">
      <c r="A86" s="3">
        <v>45354</v>
      </c>
      <c r="B86" s="1" t="s">
        <v>16</v>
      </c>
      <c r="C86" s="1" t="s">
        <v>15</v>
      </c>
      <c r="D86" s="1">
        <v>5</v>
      </c>
      <c r="E86" s="4">
        <v>300000</v>
      </c>
      <c r="F86" s="4">
        <v>1500000</v>
      </c>
      <c r="G86" s="1" t="s">
        <v>9</v>
      </c>
    </row>
    <row r="87" spans="1:7" x14ac:dyDescent="0.25">
      <c r="A87" s="3">
        <v>45354</v>
      </c>
      <c r="B87" s="1" t="s">
        <v>14</v>
      </c>
      <c r="C87" s="1" t="s">
        <v>15</v>
      </c>
      <c r="D87" s="1">
        <v>4</v>
      </c>
      <c r="E87" s="4">
        <v>300000</v>
      </c>
      <c r="F87" s="4">
        <v>1200000</v>
      </c>
      <c r="G87" s="1" t="s">
        <v>9</v>
      </c>
    </row>
    <row r="88" spans="1:7" x14ac:dyDescent="0.25">
      <c r="A88" s="3">
        <v>45355</v>
      </c>
      <c r="B88" s="1" t="s">
        <v>10</v>
      </c>
      <c r="C88" s="1" t="s">
        <v>11</v>
      </c>
      <c r="D88" s="1">
        <v>4</v>
      </c>
      <c r="E88" s="4">
        <v>200000</v>
      </c>
      <c r="F88" s="4">
        <v>800000</v>
      </c>
      <c r="G88" s="1" t="s">
        <v>12</v>
      </c>
    </row>
    <row r="89" spans="1:7" x14ac:dyDescent="0.25">
      <c r="A89" s="3">
        <v>45355</v>
      </c>
      <c r="B89" s="1" t="s">
        <v>7</v>
      </c>
      <c r="C89" s="1" t="s">
        <v>8</v>
      </c>
      <c r="D89" s="1">
        <v>2</v>
      </c>
      <c r="E89" s="4">
        <v>120000</v>
      </c>
      <c r="F89" s="4">
        <v>240000</v>
      </c>
      <c r="G89" s="1" t="s">
        <v>12</v>
      </c>
    </row>
    <row r="90" spans="1:7" x14ac:dyDescent="0.25">
      <c r="A90" s="3">
        <v>45355</v>
      </c>
      <c r="B90" s="1" t="s">
        <v>7</v>
      </c>
      <c r="C90" s="1" t="s">
        <v>8</v>
      </c>
      <c r="D90" s="1">
        <v>4</v>
      </c>
      <c r="E90" s="4">
        <v>300000</v>
      </c>
      <c r="F90" s="4">
        <v>1200000</v>
      </c>
      <c r="G90" s="1" t="s">
        <v>9</v>
      </c>
    </row>
    <row r="91" spans="1:7" x14ac:dyDescent="0.25">
      <c r="A91" s="3">
        <v>45355</v>
      </c>
      <c r="B91" s="1" t="s">
        <v>10</v>
      </c>
      <c r="C91" s="1" t="s">
        <v>11</v>
      </c>
      <c r="D91" s="1">
        <v>1</v>
      </c>
      <c r="E91" s="4">
        <v>50000</v>
      </c>
      <c r="F91" s="4">
        <v>50000</v>
      </c>
      <c r="G91" s="1" t="s">
        <v>17</v>
      </c>
    </row>
    <row r="92" spans="1:7" x14ac:dyDescent="0.25">
      <c r="A92" s="3">
        <v>45356</v>
      </c>
      <c r="B92" s="1" t="s">
        <v>18</v>
      </c>
      <c r="C92" s="1" t="s">
        <v>15</v>
      </c>
      <c r="D92" s="1">
        <v>1</v>
      </c>
      <c r="E92" s="4">
        <v>300000</v>
      </c>
      <c r="F92" s="4">
        <v>300000</v>
      </c>
      <c r="G92" s="1" t="s">
        <v>12</v>
      </c>
    </row>
    <row r="93" spans="1:7" x14ac:dyDescent="0.25">
      <c r="A93" s="3">
        <v>45357</v>
      </c>
      <c r="B93" s="1" t="s">
        <v>16</v>
      </c>
      <c r="C93" s="1" t="s">
        <v>15</v>
      </c>
      <c r="D93" s="1">
        <v>3</v>
      </c>
      <c r="E93" s="4">
        <v>120000</v>
      </c>
      <c r="F93" s="4">
        <v>360000</v>
      </c>
      <c r="G93" s="1" t="s">
        <v>17</v>
      </c>
    </row>
    <row r="94" spans="1:7" x14ac:dyDescent="0.25">
      <c r="A94" s="3">
        <v>45360</v>
      </c>
      <c r="B94" s="1" t="s">
        <v>7</v>
      </c>
      <c r="C94" s="1" t="s">
        <v>8</v>
      </c>
      <c r="D94" s="1">
        <v>5</v>
      </c>
      <c r="E94" s="4">
        <v>300000</v>
      </c>
      <c r="F94" s="4">
        <v>1500000</v>
      </c>
      <c r="G94" s="1" t="s">
        <v>17</v>
      </c>
    </row>
    <row r="95" spans="1:7" x14ac:dyDescent="0.25">
      <c r="A95" s="3">
        <v>45361</v>
      </c>
      <c r="B95" s="1" t="s">
        <v>14</v>
      </c>
      <c r="C95" s="1" t="s">
        <v>15</v>
      </c>
      <c r="D95" s="1">
        <v>5</v>
      </c>
      <c r="E95" s="4">
        <v>50000</v>
      </c>
      <c r="F95" s="4">
        <v>250000</v>
      </c>
      <c r="G95" s="1" t="s">
        <v>17</v>
      </c>
    </row>
    <row r="96" spans="1:7" x14ac:dyDescent="0.25">
      <c r="A96" s="3">
        <v>45362</v>
      </c>
      <c r="B96" s="1" t="s">
        <v>7</v>
      </c>
      <c r="C96" s="1" t="s">
        <v>8</v>
      </c>
      <c r="D96" s="1">
        <v>2</v>
      </c>
      <c r="E96" s="4">
        <v>50000</v>
      </c>
      <c r="F96" s="4">
        <v>100000</v>
      </c>
      <c r="G96" s="1" t="s">
        <v>19</v>
      </c>
    </row>
    <row r="97" spans="1:7" x14ac:dyDescent="0.25">
      <c r="A97" s="3">
        <v>45362</v>
      </c>
      <c r="B97" s="1" t="s">
        <v>18</v>
      </c>
      <c r="C97" s="1" t="s">
        <v>15</v>
      </c>
      <c r="D97" s="1">
        <v>2</v>
      </c>
      <c r="E97" s="4">
        <v>200000</v>
      </c>
      <c r="F97" s="4">
        <v>400000</v>
      </c>
      <c r="G97" s="1" t="s">
        <v>19</v>
      </c>
    </row>
    <row r="98" spans="1:7" x14ac:dyDescent="0.25">
      <c r="A98" s="3">
        <v>45363</v>
      </c>
      <c r="B98" s="1" t="s">
        <v>14</v>
      </c>
      <c r="C98" s="1" t="s">
        <v>15</v>
      </c>
      <c r="D98" s="1">
        <v>5</v>
      </c>
      <c r="E98" s="4">
        <v>75000</v>
      </c>
      <c r="F98" s="4">
        <v>375000</v>
      </c>
      <c r="G98" s="1" t="s">
        <v>19</v>
      </c>
    </row>
    <row r="99" spans="1:7" x14ac:dyDescent="0.25">
      <c r="A99" s="3">
        <v>45363</v>
      </c>
      <c r="B99" s="1" t="s">
        <v>14</v>
      </c>
      <c r="C99" s="1" t="s">
        <v>15</v>
      </c>
      <c r="D99" s="1">
        <v>2</v>
      </c>
      <c r="E99" s="4">
        <v>300000</v>
      </c>
      <c r="F99" s="4">
        <v>600000</v>
      </c>
      <c r="G99" s="1" t="s">
        <v>13</v>
      </c>
    </row>
    <row r="100" spans="1:7" x14ac:dyDescent="0.25">
      <c r="A100" s="3">
        <v>45364</v>
      </c>
      <c r="B100" s="1" t="s">
        <v>7</v>
      </c>
      <c r="C100" s="1" t="s">
        <v>8</v>
      </c>
      <c r="D100" s="1">
        <v>2</v>
      </c>
      <c r="E100" s="4">
        <v>300000</v>
      </c>
      <c r="F100" s="4">
        <v>600000</v>
      </c>
      <c r="G100" s="1" t="s">
        <v>13</v>
      </c>
    </row>
    <row r="101" spans="1:7" x14ac:dyDescent="0.25">
      <c r="A101" s="3">
        <v>45364</v>
      </c>
      <c r="B101" s="1" t="s">
        <v>10</v>
      </c>
      <c r="C101" s="1" t="s">
        <v>11</v>
      </c>
      <c r="D101" s="1">
        <v>2</v>
      </c>
      <c r="E101" s="4">
        <v>300000</v>
      </c>
      <c r="F101" s="4">
        <v>600000</v>
      </c>
      <c r="G101" s="1" t="s">
        <v>9</v>
      </c>
    </row>
    <row r="102" spans="1:7" x14ac:dyDescent="0.25">
      <c r="A102" s="3">
        <v>45365</v>
      </c>
      <c r="B102" s="1" t="s">
        <v>10</v>
      </c>
      <c r="C102" s="1" t="s">
        <v>11</v>
      </c>
      <c r="D102" s="1">
        <v>5</v>
      </c>
      <c r="E102" s="4">
        <v>75000</v>
      </c>
      <c r="F102" s="4">
        <v>375000</v>
      </c>
      <c r="G102" s="1" t="s">
        <v>13</v>
      </c>
    </row>
    <row r="103" spans="1:7" x14ac:dyDescent="0.25">
      <c r="A103" s="3">
        <v>45366</v>
      </c>
      <c r="B103" s="1" t="s">
        <v>14</v>
      </c>
      <c r="C103" s="1" t="s">
        <v>15</v>
      </c>
      <c r="D103" s="1">
        <v>1</v>
      </c>
      <c r="E103" s="4">
        <v>300000</v>
      </c>
      <c r="F103" s="4">
        <v>300000</v>
      </c>
      <c r="G103" s="1" t="s">
        <v>12</v>
      </c>
    </row>
    <row r="104" spans="1:7" x14ac:dyDescent="0.25">
      <c r="A104" s="3">
        <v>45367</v>
      </c>
      <c r="B104" s="1" t="s">
        <v>14</v>
      </c>
      <c r="C104" s="1" t="s">
        <v>15</v>
      </c>
      <c r="D104" s="1">
        <v>3</v>
      </c>
      <c r="E104" s="4">
        <v>50000</v>
      </c>
      <c r="F104" s="4">
        <v>150000</v>
      </c>
      <c r="G104" s="1" t="s">
        <v>9</v>
      </c>
    </row>
    <row r="105" spans="1:7" x14ac:dyDescent="0.25">
      <c r="A105" s="3">
        <v>45367</v>
      </c>
      <c r="B105" s="1" t="s">
        <v>10</v>
      </c>
      <c r="C105" s="1" t="s">
        <v>11</v>
      </c>
      <c r="D105" s="1">
        <v>1</v>
      </c>
      <c r="E105" s="4">
        <v>300000</v>
      </c>
      <c r="F105" s="4">
        <v>300000</v>
      </c>
      <c r="G105" s="1" t="s">
        <v>19</v>
      </c>
    </row>
    <row r="106" spans="1:7" x14ac:dyDescent="0.25">
      <c r="A106" s="3">
        <v>45368</v>
      </c>
      <c r="B106" s="1" t="s">
        <v>7</v>
      </c>
      <c r="C106" s="1" t="s">
        <v>8</v>
      </c>
      <c r="D106" s="1">
        <v>3</v>
      </c>
      <c r="E106" s="4">
        <v>120000</v>
      </c>
      <c r="F106" s="4">
        <v>360000</v>
      </c>
      <c r="G106" s="1" t="s">
        <v>17</v>
      </c>
    </row>
    <row r="107" spans="1:7" x14ac:dyDescent="0.25">
      <c r="A107" s="3">
        <v>45368</v>
      </c>
      <c r="B107" s="1" t="s">
        <v>14</v>
      </c>
      <c r="C107" s="1" t="s">
        <v>15</v>
      </c>
      <c r="D107" s="1">
        <v>2</v>
      </c>
      <c r="E107" s="4">
        <v>75000</v>
      </c>
      <c r="F107" s="4">
        <v>150000</v>
      </c>
      <c r="G107" s="1" t="s">
        <v>9</v>
      </c>
    </row>
    <row r="108" spans="1:7" x14ac:dyDescent="0.25">
      <c r="A108" s="3">
        <v>45369</v>
      </c>
      <c r="B108" s="1" t="s">
        <v>14</v>
      </c>
      <c r="C108" s="1" t="s">
        <v>15</v>
      </c>
      <c r="D108" s="1">
        <v>4</v>
      </c>
      <c r="E108" s="4">
        <v>120000</v>
      </c>
      <c r="F108" s="4">
        <v>480000</v>
      </c>
      <c r="G108" s="1" t="s">
        <v>12</v>
      </c>
    </row>
    <row r="109" spans="1:7" x14ac:dyDescent="0.25">
      <c r="A109" s="3">
        <v>45370</v>
      </c>
      <c r="B109" s="1" t="s">
        <v>14</v>
      </c>
      <c r="C109" s="1" t="s">
        <v>15</v>
      </c>
      <c r="D109" s="1">
        <v>1</v>
      </c>
      <c r="E109" s="4">
        <v>200000</v>
      </c>
      <c r="F109" s="4">
        <v>200000</v>
      </c>
      <c r="G109" s="1" t="s">
        <v>9</v>
      </c>
    </row>
    <row r="110" spans="1:7" x14ac:dyDescent="0.25">
      <c r="A110" s="3">
        <v>45370</v>
      </c>
      <c r="B110" s="1" t="s">
        <v>14</v>
      </c>
      <c r="C110" s="1" t="s">
        <v>15</v>
      </c>
      <c r="D110" s="1">
        <v>4</v>
      </c>
      <c r="E110" s="4">
        <v>75000</v>
      </c>
      <c r="F110" s="4">
        <v>300000</v>
      </c>
      <c r="G110" s="1" t="s">
        <v>13</v>
      </c>
    </row>
    <row r="111" spans="1:7" x14ac:dyDescent="0.25">
      <c r="A111" s="3">
        <v>45371</v>
      </c>
      <c r="B111" s="1" t="s">
        <v>7</v>
      </c>
      <c r="C111" s="1" t="s">
        <v>8</v>
      </c>
      <c r="D111" s="1">
        <v>2</v>
      </c>
      <c r="E111" s="4">
        <v>75000</v>
      </c>
      <c r="F111" s="4">
        <v>150000</v>
      </c>
      <c r="G111" s="1" t="s">
        <v>17</v>
      </c>
    </row>
    <row r="112" spans="1:7" x14ac:dyDescent="0.25">
      <c r="A112" s="3">
        <v>45372</v>
      </c>
      <c r="B112" s="1" t="s">
        <v>14</v>
      </c>
      <c r="C112" s="1" t="s">
        <v>15</v>
      </c>
      <c r="D112" s="1">
        <v>3</v>
      </c>
      <c r="E112" s="4">
        <v>50000</v>
      </c>
      <c r="F112" s="4">
        <v>150000</v>
      </c>
      <c r="G112" s="1" t="s">
        <v>12</v>
      </c>
    </row>
    <row r="113" spans="1:7" x14ac:dyDescent="0.25">
      <c r="A113" s="3">
        <v>45373</v>
      </c>
      <c r="B113" s="1" t="s">
        <v>18</v>
      </c>
      <c r="C113" s="1" t="s">
        <v>15</v>
      </c>
      <c r="D113" s="1">
        <v>4</v>
      </c>
      <c r="E113" s="4">
        <v>300000</v>
      </c>
      <c r="F113" s="4">
        <v>1200000</v>
      </c>
      <c r="G113" s="1" t="s">
        <v>12</v>
      </c>
    </row>
    <row r="114" spans="1:7" x14ac:dyDescent="0.25">
      <c r="A114" s="3">
        <v>45376</v>
      </c>
      <c r="B114" s="1" t="s">
        <v>7</v>
      </c>
      <c r="C114" s="1" t="s">
        <v>8</v>
      </c>
      <c r="D114" s="1">
        <v>1</v>
      </c>
      <c r="E114" s="4">
        <v>75000</v>
      </c>
      <c r="F114" s="4">
        <v>75000</v>
      </c>
      <c r="G114" s="1" t="s">
        <v>19</v>
      </c>
    </row>
    <row r="115" spans="1:7" x14ac:dyDescent="0.25">
      <c r="A115" s="3">
        <v>45376</v>
      </c>
      <c r="B115" s="1" t="s">
        <v>18</v>
      </c>
      <c r="C115" s="1" t="s">
        <v>15</v>
      </c>
      <c r="D115" s="1">
        <v>3</v>
      </c>
      <c r="E115" s="4">
        <v>75000</v>
      </c>
      <c r="F115" s="4">
        <v>225000</v>
      </c>
      <c r="G115" s="1" t="s">
        <v>13</v>
      </c>
    </row>
    <row r="116" spans="1:7" x14ac:dyDescent="0.25">
      <c r="A116" s="3">
        <v>45377</v>
      </c>
      <c r="B116" s="1" t="s">
        <v>16</v>
      </c>
      <c r="C116" s="1" t="s">
        <v>15</v>
      </c>
      <c r="D116" s="1">
        <v>3</v>
      </c>
      <c r="E116" s="4">
        <v>120000</v>
      </c>
      <c r="F116" s="4">
        <v>360000</v>
      </c>
      <c r="G116" s="1" t="s">
        <v>19</v>
      </c>
    </row>
    <row r="117" spans="1:7" x14ac:dyDescent="0.25">
      <c r="A117" s="3">
        <v>45378</v>
      </c>
      <c r="B117" s="1" t="s">
        <v>16</v>
      </c>
      <c r="C117" s="1" t="s">
        <v>15</v>
      </c>
      <c r="D117" s="1">
        <v>4</v>
      </c>
      <c r="E117" s="4">
        <v>120000</v>
      </c>
      <c r="F117" s="4">
        <v>480000</v>
      </c>
      <c r="G117" s="1" t="s">
        <v>9</v>
      </c>
    </row>
    <row r="118" spans="1:7" x14ac:dyDescent="0.25">
      <c r="A118" s="3">
        <v>45378</v>
      </c>
      <c r="B118" s="1" t="s">
        <v>10</v>
      </c>
      <c r="C118" s="1" t="s">
        <v>11</v>
      </c>
      <c r="D118" s="1">
        <v>5</v>
      </c>
      <c r="E118" s="4">
        <v>75000</v>
      </c>
      <c r="F118" s="4">
        <v>375000</v>
      </c>
      <c r="G118" s="1" t="s">
        <v>19</v>
      </c>
    </row>
    <row r="119" spans="1:7" x14ac:dyDescent="0.25">
      <c r="A119" s="3">
        <v>45378</v>
      </c>
      <c r="B119" s="1" t="s">
        <v>7</v>
      </c>
      <c r="C119" s="1" t="s">
        <v>8</v>
      </c>
      <c r="D119" s="1">
        <v>3</v>
      </c>
      <c r="E119" s="4">
        <v>200000</v>
      </c>
      <c r="F119" s="4">
        <v>600000</v>
      </c>
      <c r="G119" s="1" t="s">
        <v>9</v>
      </c>
    </row>
    <row r="120" spans="1:7" x14ac:dyDescent="0.25">
      <c r="A120" s="3">
        <v>45378</v>
      </c>
      <c r="B120" s="1" t="s">
        <v>14</v>
      </c>
      <c r="C120" s="1" t="s">
        <v>15</v>
      </c>
      <c r="D120" s="1">
        <v>4</v>
      </c>
      <c r="E120" s="4">
        <v>300000</v>
      </c>
      <c r="F120" s="4">
        <v>1200000</v>
      </c>
      <c r="G120" s="1" t="s">
        <v>17</v>
      </c>
    </row>
    <row r="121" spans="1:7" x14ac:dyDescent="0.25">
      <c r="A121" s="3">
        <v>45379</v>
      </c>
      <c r="B121" s="1" t="s">
        <v>7</v>
      </c>
      <c r="C121" s="1" t="s">
        <v>8</v>
      </c>
      <c r="D121" s="1">
        <v>4</v>
      </c>
      <c r="E121" s="4">
        <v>300000</v>
      </c>
      <c r="F121" s="4">
        <v>1200000</v>
      </c>
      <c r="G121" s="1" t="s">
        <v>12</v>
      </c>
    </row>
  </sheetData>
  <sortState ref="A2:G121">
    <sortCondition ref="A2:A121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23"/>
  <sheetViews>
    <sheetView workbookViewId="0">
      <selection activeCell="H3" sqref="H3"/>
    </sheetView>
  </sheetViews>
  <sheetFormatPr defaultRowHeight="15" x14ac:dyDescent="0.25"/>
  <cols>
    <col min="1" max="1" width="13.5703125" customWidth="1"/>
    <col min="2" max="2" width="10.42578125" customWidth="1"/>
    <col min="3" max="3" width="11.7109375" bestFit="1" customWidth="1"/>
    <col min="5" max="5" width="13.140625" customWidth="1"/>
    <col min="6" max="6" width="11.7109375" customWidth="1"/>
    <col min="7" max="8" width="13.140625" customWidth="1"/>
    <col min="9" max="9" width="11.7109375" customWidth="1"/>
  </cols>
  <sheetData>
    <row r="1" spans="1:9" ht="18.75" x14ac:dyDescent="0.4">
      <c r="A1" s="9" t="s">
        <v>24</v>
      </c>
      <c r="B1" s="9"/>
      <c r="C1" s="9"/>
      <c r="E1" s="9" t="s">
        <v>25</v>
      </c>
      <c r="F1" s="9"/>
      <c r="H1" s="9" t="s">
        <v>26</v>
      </c>
      <c r="I1" s="9"/>
    </row>
    <row r="3" spans="1:9" x14ac:dyDescent="0.25">
      <c r="A3" s="6" t="s">
        <v>20</v>
      </c>
      <c r="B3" t="s">
        <v>22</v>
      </c>
      <c r="C3" t="s">
        <v>23</v>
      </c>
      <c r="E3" s="6" t="s">
        <v>20</v>
      </c>
      <c r="F3" t="s">
        <v>23</v>
      </c>
      <c r="H3" s="6" t="s">
        <v>20</v>
      </c>
      <c r="I3" t="s">
        <v>23</v>
      </c>
    </row>
    <row r="4" spans="1:9" x14ac:dyDescent="0.25">
      <c r="A4" s="7" t="s">
        <v>10</v>
      </c>
      <c r="B4" s="8">
        <v>42</v>
      </c>
      <c r="C4" s="8">
        <v>5510000</v>
      </c>
      <c r="E4" s="7" t="s">
        <v>12</v>
      </c>
      <c r="F4" s="8">
        <v>11770000</v>
      </c>
      <c r="H4" s="7" t="s">
        <v>32</v>
      </c>
      <c r="I4" s="8">
        <v>19385000</v>
      </c>
    </row>
    <row r="5" spans="1:9" x14ac:dyDescent="0.25">
      <c r="A5" s="7" t="s">
        <v>18</v>
      </c>
      <c r="B5" s="8">
        <v>73</v>
      </c>
      <c r="C5" s="8">
        <v>11155000</v>
      </c>
      <c r="E5" s="7" t="s">
        <v>9</v>
      </c>
      <c r="F5" s="8">
        <v>12025000</v>
      </c>
      <c r="H5" s="7" t="s">
        <v>33</v>
      </c>
      <c r="I5" s="8">
        <v>16485000</v>
      </c>
    </row>
    <row r="6" spans="1:9" x14ac:dyDescent="0.25">
      <c r="A6" s="7" t="s">
        <v>14</v>
      </c>
      <c r="B6" s="8">
        <v>91</v>
      </c>
      <c r="C6" s="8">
        <v>13035000</v>
      </c>
      <c r="E6" s="7" t="s">
        <v>19</v>
      </c>
      <c r="F6" s="8">
        <v>11885000</v>
      </c>
      <c r="H6" s="7" t="s">
        <v>31</v>
      </c>
      <c r="I6" s="8">
        <v>19985000</v>
      </c>
    </row>
    <row r="7" spans="1:9" x14ac:dyDescent="0.25">
      <c r="A7" s="7" t="s">
        <v>16</v>
      </c>
      <c r="B7" s="8">
        <v>75</v>
      </c>
      <c r="C7" s="8">
        <v>10835000</v>
      </c>
      <c r="E7" s="7" t="s">
        <v>17</v>
      </c>
      <c r="F7" s="8">
        <v>11710000</v>
      </c>
      <c r="H7" s="7" t="s">
        <v>21</v>
      </c>
      <c r="I7" s="8">
        <v>55855000</v>
      </c>
    </row>
    <row r="8" spans="1:9" x14ac:dyDescent="0.25">
      <c r="A8" s="7" t="s">
        <v>7</v>
      </c>
      <c r="B8" s="8">
        <v>95</v>
      </c>
      <c r="C8" s="8">
        <v>15320000</v>
      </c>
      <c r="E8" s="7" t="s">
        <v>13</v>
      </c>
      <c r="F8" s="8">
        <v>8465000</v>
      </c>
    </row>
    <row r="9" spans="1:9" x14ac:dyDescent="0.25">
      <c r="A9" s="7" t="s">
        <v>21</v>
      </c>
      <c r="B9" s="8">
        <v>376</v>
      </c>
      <c r="C9" s="8">
        <v>55855000</v>
      </c>
      <c r="E9" s="7" t="s">
        <v>21</v>
      </c>
      <c r="F9" s="8">
        <v>55855000</v>
      </c>
    </row>
    <row r="22" spans="1:2" x14ac:dyDescent="0.25">
      <c r="A22" s="7"/>
      <c r="B22" s="8"/>
    </row>
    <row r="23" spans="1:2" x14ac:dyDescent="0.25">
      <c r="A23" s="7"/>
      <c r="B23" s="8"/>
    </row>
  </sheetData>
  <mergeCells count="3">
    <mergeCell ref="A1:C1"/>
    <mergeCell ref="E1:F1"/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B2:F11"/>
  <sheetViews>
    <sheetView showGridLines="0" workbookViewId="0">
      <selection activeCell="E12" sqref="E12"/>
    </sheetView>
  </sheetViews>
  <sheetFormatPr defaultRowHeight="18.75" x14ac:dyDescent="0.4"/>
  <cols>
    <col min="1" max="1" width="4.140625" style="11" customWidth="1"/>
    <col min="2" max="2" width="5" style="11" customWidth="1"/>
    <col min="3" max="3" width="22" style="11" customWidth="1"/>
    <col min="4" max="4" width="2.7109375" style="11" customWidth="1"/>
    <col min="5" max="5" width="19" style="11" customWidth="1"/>
    <col min="6" max="6" width="5.42578125" style="11" customWidth="1"/>
    <col min="7" max="16384" width="9.140625" style="11"/>
  </cols>
  <sheetData>
    <row r="2" spans="2:6" ht="6.75" customHeight="1" x14ac:dyDescent="0.4">
      <c r="B2" s="13"/>
      <c r="C2" s="13"/>
      <c r="D2" s="13"/>
      <c r="E2" s="13"/>
      <c r="F2" s="13"/>
    </row>
    <row r="3" spans="2:6" ht="23.25" customHeight="1" x14ac:dyDescent="0.4">
      <c r="B3" s="13"/>
      <c r="C3" s="14" t="s">
        <v>27</v>
      </c>
      <c r="D3" s="14"/>
      <c r="E3" s="14"/>
      <c r="F3" s="13"/>
    </row>
    <row r="4" spans="2:6" x14ac:dyDescent="0.4">
      <c r="B4" s="10"/>
      <c r="C4" s="10"/>
      <c r="D4" s="10"/>
      <c r="E4" s="10"/>
      <c r="F4" s="10"/>
    </row>
    <row r="5" spans="2:6" x14ac:dyDescent="0.4">
      <c r="B5" s="10"/>
      <c r="C5" s="10" t="s">
        <v>28</v>
      </c>
      <c r="D5" s="10"/>
      <c r="E5" s="16" t="str">
        <f>INDEX(Pivot!A4:A8,MATCH(MAX(Pivot!B4:B8),Pivot!B4:B8,0))</f>
        <v>Webcam</v>
      </c>
      <c r="F5" s="10"/>
    </row>
    <row r="6" spans="2:6" x14ac:dyDescent="0.4">
      <c r="B6" s="10"/>
      <c r="C6" s="10"/>
      <c r="D6" s="10"/>
      <c r="E6" s="10"/>
      <c r="F6" s="10"/>
    </row>
    <row r="7" spans="2:6" x14ac:dyDescent="0.4">
      <c r="B7" s="10"/>
      <c r="C7" s="10" t="s">
        <v>29</v>
      </c>
      <c r="D7" s="10"/>
      <c r="E7" s="15" t="str">
        <f>INDEX(Pivot!H4:H6,MATCH(MAX(Pivot!I4:I6),Pivot!I4:I6,0))</f>
        <v>Maret</v>
      </c>
      <c r="F7" s="10"/>
    </row>
    <row r="8" spans="2:6" x14ac:dyDescent="0.4">
      <c r="B8" s="10"/>
      <c r="C8" s="10"/>
      <c r="D8" s="10"/>
      <c r="E8" s="10"/>
      <c r="F8" s="10"/>
    </row>
    <row r="9" spans="2:6" x14ac:dyDescent="0.4">
      <c r="B9" s="10"/>
      <c r="C9" s="10" t="s">
        <v>30</v>
      </c>
      <c r="D9" s="10"/>
      <c r="E9" s="15" t="str">
        <f>INDEX(Pivot!E4:E8,MATCH(MAX(Pivot!F4:F8),Pivot!F4:F8,0))</f>
        <v>Jakarta</v>
      </c>
      <c r="F9" s="10"/>
    </row>
    <row r="10" spans="2:6" x14ac:dyDescent="0.4">
      <c r="B10" s="10"/>
      <c r="C10" s="10"/>
      <c r="D10" s="10"/>
      <c r="E10" s="10"/>
      <c r="F10" s="10"/>
    </row>
    <row r="11" spans="2:6" x14ac:dyDescent="0.4">
      <c r="B11" s="12"/>
      <c r="C11" s="12"/>
      <c r="D11" s="12"/>
      <c r="E11" s="12"/>
      <c r="F11" s="12"/>
    </row>
  </sheetData>
  <mergeCells count="1">
    <mergeCell ref="C3:E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3" name="Button 3">
              <controlPr defaultSize="0" print="0" autoFill="0" autoPict="0" macro="[0]!AutoReport">
                <anchor moveWithCells="1" sizeWithCells="1">
                  <from>
                    <xdr:col>2</xdr:col>
                    <xdr:colOff>828675</xdr:colOff>
                    <xdr:row>10</xdr:row>
                    <xdr:rowOff>104775</xdr:rowOff>
                  </from>
                  <to>
                    <xdr:col>4</xdr:col>
                    <xdr:colOff>180975</xdr:colOff>
                    <xdr:row>11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dataset_penjualan_latihan</vt:lpstr>
      <vt:lpstr>Pivot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2026-02-01T05:43:49Z</dcterms:created>
  <dcterms:modified xsi:type="dcterms:W3CDTF">2026-02-01T07:35:38Z</dcterms:modified>
</cp:coreProperties>
</file>